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YY\Documents\agape\"/>
    </mc:Choice>
  </mc:AlternateContent>
  <xr:revisionPtr revIDLastSave="0" documentId="13_ncr:1_{04A79E61-0869-432E-8145-5CA0052E7CCD}" xr6:coauthVersionLast="47" xr6:coauthVersionMax="47" xr10:uidLastSave="{00000000-0000-0000-0000-000000000000}"/>
  <bookViews>
    <workbookView xWindow="-98" yWindow="-98" windowWidth="20715" windowHeight="13276" activeTab="2" xr2:uid="{00000000-000D-0000-FFFF-FFFF00000000}"/>
  </bookViews>
  <sheets>
    <sheet name="Mapato 2023" sheetId="1" r:id="rId1"/>
    <sheet name="Sheet2" sheetId="6" r:id="rId2"/>
    <sheet name="SUMMARY 22" sheetId="2" r:id="rId3"/>
    <sheet name="MALINGANISHO-MAPATO" sheetId="5" r:id="rId4"/>
    <sheet name="Sheet1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D6" i="1" l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K26" i="2"/>
  <c r="L26" i="2" s="1"/>
  <c r="J26" i="2"/>
  <c r="I26" i="2"/>
  <c r="AD27" i="1"/>
  <c r="AE27" i="1"/>
  <c r="AF27" i="1"/>
  <c r="AG27" i="1"/>
  <c r="AH27" i="1"/>
  <c r="AI27" i="1"/>
  <c r="AJ27" i="1"/>
  <c r="AK27" i="1"/>
  <c r="AL27" i="1"/>
  <c r="AM27" i="1"/>
  <c r="Q27" i="1"/>
  <c r="G27" i="1" l="1"/>
  <c r="D27" i="1"/>
  <c r="C27" i="1" l="1"/>
  <c r="F49" i="5" l="1"/>
  <c r="F51" i="5" s="1"/>
  <c r="BC27" i="1" l="1"/>
  <c r="BA27" i="1"/>
  <c r="AZ27" i="1"/>
  <c r="AX27" i="1"/>
  <c r="AW27" i="1"/>
  <c r="AQ27" i="1"/>
  <c r="W27" i="1"/>
  <c r="U27" i="1"/>
  <c r="R27" i="1"/>
  <c r="K27" i="1"/>
  <c r="E17" i="4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BB27" i="1"/>
  <c r="AY27" i="1"/>
  <c r="AV27" i="1"/>
  <c r="AU27" i="1"/>
  <c r="AT27" i="1"/>
  <c r="AS27" i="1"/>
  <c r="AR27" i="1"/>
  <c r="AP27" i="1"/>
  <c r="AO27" i="1"/>
  <c r="AN27" i="1"/>
  <c r="AC27" i="1"/>
  <c r="AB27" i="1"/>
  <c r="AA27" i="1"/>
  <c r="Z27" i="1"/>
  <c r="Y27" i="1"/>
  <c r="X27" i="1"/>
  <c r="V27" i="1"/>
  <c r="T27" i="1"/>
  <c r="S27" i="1"/>
  <c r="P27" i="1"/>
  <c r="O27" i="1"/>
  <c r="N27" i="1"/>
  <c r="M27" i="1"/>
  <c r="L27" i="1"/>
  <c r="J27" i="1"/>
  <c r="I27" i="1"/>
  <c r="H27" i="1"/>
  <c r="F27" i="1"/>
  <c r="E27" i="1"/>
  <c r="I17" i="2"/>
  <c r="K17" i="2" s="1"/>
  <c r="L17" i="2" s="1"/>
  <c r="I24" i="2"/>
  <c r="K24" i="2" s="1"/>
  <c r="L24" i="2" s="1"/>
  <c r="I20" i="2"/>
  <c r="K20" i="2" s="1"/>
  <c r="L20" i="2" s="1"/>
  <c r="I21" i="2"/>
  <c r="K21" i="2" s="1"/>
  <c r="L21" i="2" s="1"/>
  <c r="C26" i="2"/>
  <c r="I11" i="2" s="1"/>
  <c r="K11" i="2" s="1"/>
  <c r="L11" i="2" s="1"/>
  <c r="C25" i="2"/>
  <c r="C24" i="2"/>
  <c r="I14" i="2" s="1"/>
  <c r="K14" i="2" s="1"/>
  <c r="L14" i="2" s="1"/>
  <c r="C23" i="2"/>
  <c r="C22" i="2"/>
  <c r="I22" i="2" s="1"/>
  <c r="K22" i="2" s="1"/>
  <c r="L22" i="2" s="1"/>
  <c r="C21" i="2"/>
  <c r="C20" i="2"/>
  <c r="I25" i="2" s="1"/>
  <c r="K25" i="2" s="1"/>
  <c r="L25" i="2" s="1"/>
  <c r="C19" i="2"/>
  <c r="I23" i="2" s="1"/>
  <c r="K23" i="2" s="1"/>
  <c r="L23" i="2" s="1"/>
  <c r="C18" i="2"/>
  <c r="C17" i="2"/>
  <c r="C16" i="2"/>
  <c r="C15" i="2"/>
  <c r="C14" i="2"/>
  <c r="C13" i="2"/>
  <c r="I13" i="2" s="1"/>
  <c r="K13" i="2" s="1"/>
  <c r="L13" i="2" s="1"/>
  <c r="C12" i="2"/>
  <c r="I12" i="2" s="1"/>
  <c r="C11" i="2"/>
  <c r="I10" i="2" s="1"/>
  <c r="K10" i="2" s="1"/>
  <c r="L10" i="2" s="1"/>
  <c r="C10" i="2"/>
  <c r="I9" i="2" s="1"/>
  <c r="K9" i="2" s="1"/>
  <c r="L9" i="2" s="1"/>
  <c r="C9" i="2"/>
  <c r="I8" i="2" s="1"/>
  <c r="K8" i="2" s="1"/>
  <c r="L8" i="2" s="1"/>
  <c r="C7" i="2"/>
  <c r="I6" i="2" s="1"/>
  <c r="K6" i="2" s="1"/>
  <c r="L6" i="2" s="1"/>
  <c r="C6" i="2"/>
  <c r="BD27" i="1" l="1"/>
  <c r="I16" i="2"/>
  <c r="K16" i="2" s="1"/>
  <c r="L16" i="2" s="1"/>
  <c r="K12" i="2"/>
  <c r="L12" i="2" s="1"/>
  <c r="I19" i="2"/>
  <c r="K19" i="2" s="1"/>
  <c r="L19" i="2" s="1"/>
  <c r="I15" i="2"/>
  <c r="K15" i="2" s="1"/>
  <c r="L15" i="2" s="1"/>
  <c r="C8" i="2"/>
  <c r="I7" i="2" s="1"/>
  <c r="K7" i="2" s="1"/>
  <c r="L7" i="2" s="1"/>
  <c r="I5" i="2"/>
  <c r="I18" i="2"/>
  <c r="K18" i="2" s="1"/>
  <c r="L18" i="2" s="1"/>
  <c r="C27" i="2" l="1"/>
  <c r="K5" i="2"/>
  <c r="L5" i="2" l="1"/>
</calcChain>
</file>

<file path=xl/sharedStrings.xml><?xml version="1.0" encoding="utf-8"?>
<sst xmlns="http://schemas.openxmlformats.org/spreadsheetml/2006/main" count="402" uniqueCount="232">
  <si>
    <t xml:space="preserve">KANISA LA KIINJILI LA KILUTHERI TANZANIA </t>
  </si>
  <si>
    <t>DAYOSISI YA MASHARIKI NA PWANI- JIMBO LA MAGHARIBI</t>
  </si>
  <si>
    <t>USHARIKA WA MAKABE -MTAA WA AGAPE</t>
  </si>
  <si>
    <t>TAARIFA YA  FEDHA- MAPATO JANUARI -DESEMBA 2022</t>
  </si>
  <si>
    <t>SN</t>
  </si>
  <si>
    <t>SADAKA</t>
  </si>
  <si>
    <t>JUMLA</t>
  </si>
  <si>
    <t>M0001</t>
  </si>
  <si>
    <t>SHUKRANI YA WIKI</t>
  </si>
  <si>
    <t xml:space="preserve"> </t>
  </si>
  <si>
    <t>M0002</t>
  </si>
  <si>
    <t>AHADI</t>
  </si>
  <si>
    <t>M0003</t>
  </si>
  <si>
    <t>SHULE YA JUMAPILI</t>
  </si>
  <si>
    <t>M0004</t>
  </si>
  <si>
    <t>SHUKRANI YA PEKEE</t>
  </si>
  <si>
    <t xml:space="preserve">  </t>
  </si>
  <si>
    <t>M0005</t>
  </si>
  <si>
    <t>FUNGU LA KUMI</t>
  </si>
  <si>
    <t>M0006</t>
  </si>
  <si>
    <t>JUMUIYA</t>
  </si>
  <si>
    <t>M0007</t>
  </si>
  <si>
    <t>SHUKRANI YA CCB</t>
  </si>
  <si>
    <t>M0008</t>
  </si>
  <si>
    <t>SHUKRANI YA UBATIZO</t>
  </si>
  <si>
    <t>M0009</t>
  </si>
  <si>
    <t>SADAKA MAALUM- KWAYA KUU</t>
  </si>
  <si>
    <t>M0010</t>
  </si>
  <si>
    <t>SHUKRANI YA PASAKA</t>
  </si>
  <si>
    <t>M0011</t>
  </si>
  <si>
    <t>SADAKA YA ALHAMIS KUU</t>
  </si>
  <si>
    <t>M0012</t>
  </si>
  <si>
    <t>SADAKA YA JUMATANO/ MAJIVU</t>
  </si>
  <si>
    <t>M0013</t>
  </si>
  <si>
    <t>SADAKA YA IJUMAA KUU</t>
  </si>
  <si>
    <t>M0014</t>
  </si>
  <si>
    <t>JENGO</t>
  </si>
  <si>
    <t>M0015</t>
  </si>
  <si>
    <t>M0016</t>
  </si>
  <si>
    <t>UNUNUZI WA KIWANJA</t>
  </si>
  <si>
    <t>M0017</t>
  </si>
  <si>
    <t xml:space="preserve">SADAKA YA MWAKA MPYA </t>
  </si>
  <si>
    <t>M0018</t>
  </si>
  <si>
    <t>UKWATA</t>
  </si>
  <si>
    <t>M0019</t>
  </si>
  <si>
    <t>MAREJESHO YA AHADI NA JENGO</t>
  </si>
  <si>
    <t>M0020</t>
  </si>
  <si>
    <t>SADAKA YA WAHITAJI</t>
  </si>
  <si>
    <t>M0021</t>
  </si>
  <si>
    <t>SHUKRANI YA SIRI</t>
  </si>
  <si>
    <t>SHUKRANI YA KRISIMASI</t>
  </si>
  <si>
    <t>SHUKRANI YA KIPAIMARA</t>
  </si>
  <si>
    <t>SHUKRANI YA NDOA</t>
  </si>
  <si>
    <t>CCT</t>
  </si>
  <si>
    <t>WALIMU</t>
  </si>
  <si>
    <t>UNUNUZI WA GITAA</t>
  </si>
  <si>
    <t>SADAKA YA MBEGU</t>
  </si>
  <si>
    <t>KKKT</t>
  </si>
  <si>
    <t>MALIMBUKO</t>
  </si>
  <si>
    <t>HARAMBEE YA NDANI MIKAELI NA WATOTO</t>
  </si>
  <si>
    <t>KAWAIDA/COLECT</t>
  </si>
  <si>
    <t>SADAKA YA USIKU MTAKATIFU</t>
  </si>
  <si>
    <t>HARAMBEE YA NDANI UJENZI</t>
  </si>
  <si>
    <t>JUMLA (TSHS.)</t>
  </si>
  <si>
    <t>S/N</t>
  </si>
  <si>
    <t>SADAKA NA MICHANGO MBALIMBALI</t>
  </si>
  <si>
    <t>ONGEZEKO</t>
  </si>
  <si>
    <t>% YA  Ongezeko/ Pungufu</t>
  </si>
  <si>
    <t>/PUNGUFU</t>
  </si>
  <si>
    <t>TSHS</t>
  </si>
  <si>
    <t xml:space="preserve"> SHUKRANI YA WIKI</t>
  </si>
  <si>
    <t xml:space="preserve"> AHADI</t>
  </si>
  <si>
    <t xml:space="preserve"> SHULE YA JUMAPILI</t>
  </si>
  <si>
    <t xml:space="preserve"> SHUKRANI YA PEKEE</t>
  </si>
  <si>
    <t xml:space="preserve"> FUNGU LA KUMI</t>
  </si>
  <si>
    <t xml:space="preserve"> JUMUIYA</t>
  </si>
  <si>
    <t xml:space="preserve"> SHUKRANI  YA SIRI  </t>
  </si>
  <si>
    <t xml:space="preserve"> SHUKRANI YA CCB</t>
  </si>
  <si>
    <t xml:space="preserve"> SHUKRANI YA UBATIZO</t>
  </si>
  <si>
    <t>SADAKA YA MAVUNO</t>
  </si>
  <si>
    <t>SHUKRANI YA WAMAMA</t>
  </si>
  <si>
    <t>SADAKA YA ALHAMISI KUU/IJUMAA KUU NA JUMATANO</t>
  </si>
  <si>
    <t>HARAMBEE YA NDANI</t>
  </si>
  <si>
    <t>SADAKA YA MWAKA MPYA</t>
  </si>
  <si>
    <t>MAREJESHO YA MINADA</t>
  </si>
  <si>
    <t>SADAKA YA MICHAEL NA WATOTO</t>
  </si>
  <si>
    <t>VITI VYA WATOTO</t>
  </si>
  <si>
    <t>RAMBIRAMBI</t>
  </si>
  <si>
    <t>SADAKA YA VIJANA</t>
  </si>
  <si>
    <t>SEMINA ZA NDANI</t>
  </si>
  <si>
    <t>SADAKA YA  KWAYA KUU</t>
  </si>
  <si>
    <t>SADAKA MAALUM</t>
  </si>
  <si>
    <t>SADAKA YA HUDUMA/KUTUNZA MADHABAHU</t>
  </si>
  <si>
    <t>SADAKA YA UKWATA/1DAYOSISI</t>
  </si>
  <si>
    <t>SADAKA Y AMALIMBUKO</t>
  </si>
  <si>
    <t>MFUKO WA ELIMU</t>
  </si>
  <si>
    <t>A.46</t>
  </si>
  <si>
    <t>-</t>
  </si>
  <si>
    <t>B.01</t>
  </si>
  <si>
    <t xml:space="preserve"> Nauli Mbalimbali( Watumishi, Vikundi,Bible study, Bank)  </t>
  </si>
  <si>
    <t>B.02</t>
  </si>
  <si>
    <t xml:space="preserve"> Mishahara na Posho Mbalimbali</t>
  </si>
  <si>
    <t>B.03</t>
  </si>
  <si>
    <t>Malipo ya NSSF  (Mfuko wa hifadhi ya Jamii)</t>
  </si>
  <si>
    <t>B.04</t>
  </si>
  <si>
    <t>Matumizi  -Mtaa-   ( umeme,Gas,Service ya Generator , usafi,matengenezo, vyombo, Vifaa vya Madhabahuni,Maji ya watoto,Bill za Maji, Bahasha za Ahadi na Jengo pamoja na Vyombo vya Madhabahu)</t>
  </si>
  <si>
    <t>B.05</t>
  </si>
  <si>
    <t>8% ya Jimbo</t>
  </si>
  <si>
    <t>B.06</t>
  </si>
  <si>
    <t>Stationery</t>
  </si>
  <si>
    <t>B.08</t>
  </si>
  <si>
    <t xml:space="preserve"> Gharama za Vikao/Semina/kongamano na Mikesha  </t>
  </si>
  <si>
    <t>B.09</t>
  </si>
  <si>
    <t>Computer na vifaa Vyake</t>
  </si>
  <si>
    <t>B.11</t>
  </si>
  <si>
    <t xml:space="preserve">Michael na Watoto /Safari za Watoto  </t>
  </si>
  <si>
    <t>B.13</t>
  </si>
  <si>
    <t xml:space="preserve"> Wahitaji, Yatima, Wajane, Wagonjwa  na walimu wa Sunday school</t>
  </si>
  <si>
    <t>B.14</t>
  </si>
  <si>
    <t>Manunuzi ya Vyombo vya Mziki</t>
  </si>
  <si>
    <t>B.15</t>
  </si>
  <si>
    <t xml:space="preserve"> Michango ya Dayosis / Jimbo na Mbwawa  </t>
  </si>
  <si>
    <t>B.16</t>
  </si>
  <si>
    <t xml:space="preserve"> Rambi Rambi  na Misiba</t>
  </si>
  <si>
    <t>B.17</t>
  </si>
  <si>
    <t>Ukwata</t>
  </si>
  <si>
    <t>B.18</t>
  </si>
  <si>
    <t xml:space="preserve"> Waimbaji binafsi</t>
  </si>
  <si>
    <t>B.19</t>
  </si>
  <si>
    <t xml:space="preserve"> JUMLA NDOGO</t>
  </si>
  <si>
    <t>B.21</t>
  </si>
  <si>
    <t xml:space="preserve"> B.MATUMIZI A UJENZI  </t>
  </si>
  <si>
    <t xml:space="preserve">                          -   </t>
  </si>
  <si>
    <t>B.22</t>
  </si>
  <si>
    <t xml:space="preserve">Ukarabati wa Office  kuweka Tiles ,Ukarabati wa choo na Jiko  na kuhamisha nguzo ya umeme  </t>
  </si>
  <si>
    <t>B.23</t>
  </si>
  <si>
    <t xml:space="preserve"> Gharama za Mafundi</t>
  </si>
  <si>
    <t>B.24</t>
  </si>
  <si>
    <t xml:space="preserve"> Usafiri wa vifaa vya ujenzi</t>
  </si>
  <si>
    <t>B.25</t>
  </si>
  <si>
    <t>Ujenzi/Ukarabati wa Darasa la Watoto</t>
  </si>
  <si>
    <t>Kuingiza umeme Kwenye Jengo</t>
  </si>
  <si>
    <t>B.28</t>
  </si>
  <si>
    <t>Ramani 3D</t>
  </si>
  <si>
    <t>B.29</t>
  </si>
  <si>
    <t>Matengenezo Milango ya Ofisi</t>
  </si>
  <si>
    <t>B.30</t>
  </si>
  <si>
    <t>Kuchangia Ujenzi wa Duka la Kwaya kuu</t>
  </si>
  <si>
    <t>B.31</t>
  </si>
  <si>
    <t>Matengenezo ya Barabara</t>
  </si>
  <si>
    <t>B.32</t>
  </si>
  <si>
    <t>Gharama za uandaaji wa Harambee</t>
  </si>
  <si>
    <t>B.39</t>
  </si>
  <si>
    <t>Daraja</t>
  </si>
  <si>
    <t>B.33</t>
  </si>
  <si>
    <t>B.34</t>
  </si>
  <si>
    <t xml:space="preserve"> Bank Charges  /Gharama za Benki</t>
  </si>
  <si>
    <t>B.35</t>
  </si>
  <si>
    <t>JUMLA   YA MATUMIZI KWA MWAKA 2020</t>
  </si>
  <si>
    <t>B.36</t>
  </si>
  <si>
    <t xml:space="preserve"> Madeni</t>
  </si>
  <si>
    <t>B.37</t>
  </si>
  <si>
    <t>Uwekezaji Saccoss</t>
  </si>
  <si>
    <t>B.38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</si>
  <si>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</si>
  <si>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</si>
  <si>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</si>
  <si>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</si>
  <si>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</si>
  <si>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</si>
  <si>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</si>
  <si>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</si>
  <si>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</si>
  <si>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</si>
  <si>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</si>
  <si>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</si>
  <si>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</si>
  <si>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</si>
  <si>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</si>
  <si>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</si>
  <si>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</si>
  <si>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</si>
  <si>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</si>
  <si>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</si>
  <si>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</si>
  <si>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</si>
  <si>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</si>
  <si>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</si>
  <si>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</si>
  <si>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</si>
  <si>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</si>
  <si>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</si>
  <si>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</si>
  <si>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</si>
  <si>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</si>
  <si>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</si>
  <si>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</si>
  <si>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</si>
  <si>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</si>
  <si>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</si>
  <si>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</si>
  <si>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</si>
  <si>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</si>
  <si>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</si>
  <si>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</si>
  <si>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</si>
  <si>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</si>
  <si>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</si>
  <si>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</si>
  <si>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JUMLA YA MAPATO KWA NJIA YA SADAKA</t>
  </si>
  <si>
    <t>MKOPO SACCOS</t>
  </si>
  <si>
    <t>JUMLA YA MAPATO KWA  MWAKA 2022/2021</t>
  </si>
  <si>
    <t>M46</t>
  </si>
  <si>
    <t>M47</t>
  </si>
  <si>
    <t>TAARIFA YA  FEDHA- MAPATO JANUARI -DISEMBA 2022</t>
  </si>
  <si>
    <t>27-agu-23</t>
  </si>
  <si>
    <t>SHUKRANI YA WIKI (kawaida) na colect</t>
  </si>
  <si>
    <t>SADAKA YA AHADI</t>
  </si>
  <si>
    <t>SADAKA YA SHUKRANI AINA ZOTE</t>
  </si>
  <si>
    <t>SADAKA YA UBATIZO</t>
  </si>
  <si>
    <t>SADAKA FUNGU LA KUMI</t>
  </si>
  <si>
    <t>SADAKA YA JENGO</t>
  </si>
  <si>
    <t>MICHANGO MBALIMBALI</t>
  </si>
  <si>
    <t>SADAKA YA NYUMBA KWA NYUMBA</t>
  </si>
  <si>
    <t>SADAKA YA MORNING &amp; EVENING GLORY</t>
  </si>
  <si>
    <t>HARAMBEE na mnada</t>
  </si>
  <si>
    <t>SADAKA YA MFUKO WA ELIMU</t>
  </si>
  <si>
    <t>SADAKA MAALUM- MAKAO MAKUU, VIJANA, KAZI ZA MISIONI,AKINA MAMA, VYAMA VYA INJILI, MSAMARIA MWEMA</t>
  </si>
  <si>
    <t>SADAKA ZA KAZI ZA UMOJA _JIMBO NA DAYOSISI</t>
  </si>
  <si>
    <t>SADAKA YA KRISMAS</t>
  </si>
  <si>
    <t>1/28/202</t>
  </si>
  <si>
    <t>SADAKA YA PASAKA/kupaa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</si>
</sst>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dd\-mmm\-yy"/>
    <numFmt numFmtId="167" formatCode="dd\-mmm"/>
    <numFmt numFmtId="168" formatCode="_(* #,##0_);_(* \(#,##0\);_(* &quot;-&quot;??_);_(@_)"/>
  </numFmts>
  <fonts count="32">
    <font>
      <sz val="11"/>
      <color rgb="FF000000"/>
      <name val="Calibri"/>
      <charset val="134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</font>
    <font>
      <b/>
      <sz val="11"/>
      <color rgb="FF000000"/>
      <name val="Arial Narrow"/>
      <family val="2"/>
    </font>
    <font>
      <b/>
      <sz val="11"/>
      <color rgb="FF000000"/>
      <name val="Arial Narrow"/>
      <family val="2"/>
      <charset val="1"/>
    </font>
    <font>
      <sz val="11"/>
      <color rgb="FF000000"/>
      <name val="Arial Narrow"/>
      <family val="2"/>
    </font>
    <font>
      <b/>
      <sz val="11"/>
      <color rgb="FF000000"/>
      <name val="Calibri"/>
      <family val="2"/>
    </font>
    <font>
      <b/>
      <sz val="10"/>
      <color rgb="FF000000"/>
      <name val="Palatino Linotype"/>
      <family val="1"/>
    </font>
    <font>
      <sz val="10"/>
      <color rgb="FF000000"/>
      <name val="Palatino Linotype"/>
      <family val="1"/>
    </font>
    <font>
      <sz val="11"/>
      <name val="Calibri"/>
      <family val="2"/>
    </font>
    <font>
      <b/>
      <sz val="12"/>
      <color rgb="FF000000"/>
      <name val="Palatino Linotype"/>
      <family val="1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 Narrow"/>
      <family val="2"/>
    </font>
    <font>
      <sz val="11"/>
      <color theme="1"/>
      <name val="Palatino Linotype"/>
      <family val="1"/>
    </font>
    <font>
      <sz val="10"/>
      <color rgb="FF000000"/>
      <name val="Palatino Linotype"/>
      <family val="1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charset val="1"/>
    </font>
    <font>
      <sz val="8"/>
      <name val="Calibri"/>
      <family val="2"/>
    </font>
    <font>
      <b/>
      <sz val="10"/>
      <color rgb="FF000000"/>
      <name val="Palatino Linotype"/>
      <family val="1"/>
    </font>
    <font>
      <b/>
      <sz val="11"/>
      <color rgb="FFFF0000"/>
      <name val="Arial Narrow"/>
      <family val="2"/>
    </font>
    <font>
      <b/>
      <sz val="11"/>
      <name val="Calibri"/>
      <family val="2"/>
    </font>
    <font>
      <b/>
      <sz val="11"/>
      <name val="Arial Narrow"/>
      <family val="2"/>
    </font>
    <font>
      <sz val="11"/>
      <color theme="1"/>
      <name val="Arial Narrow"/>
      <charset val="134"/>
    </font>
    <font>
      <sz val="11"/>
      <color rgb="FFC00000"/>
      <name val="Calibri"/>
      <family val="2"/>
    </font>
    <font>
      <b/>
      <sz val="11"/>
      <color rgb="FFC00000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rgb="FFBFBFBF"/>
        <bgColor rgb="FFBEBEBE"/>
      </patternFill>
    </fill>
    <fill>
      <patternFill patternType="solid">
        <fgColor rgb="FFBEBEBE"/>
        <bgColor rgb="FFBFBFBF"/>
      </patternFill>
    </fill>
    <fill>
      <patternFill patternType="solid">
        <fgColor rgb="FFF2F2F2"/>
        <bgColor rgb="FFEEECE1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EBEBE"/>
      </patternFill>
    </fill>
    <fill>
      <patternFill patternType="solid">
        <fgColor theme="0"/>
        <bgColor rgb="FFC4BD97"/>
      </patternFill>
    </fill>
    <fill>
      <patternFill patternType="solid">
        <fgColor theme="0"/>
        <bgColor rgb="FFEEECE1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rgb="FFBEBEBE"/>
      </patternFill>
    </fill>
    <fill>
      <patternFill patternType="solid">
        <fgColor theme="2" tint="-0.249977111117893"/>
        <bgColor rgb="FFBEBEBE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164" fontId="13" fillId="0" borderId="0" applyBorder="0" applyProtection="0"/>
    <xf numFmtId="9" fontId="13" fillId="0" borderId="0" applyBorder="0" applyProtection="0"/>
  </cellStyleXfs>
  <cellXfs count="164">
    <xf numFmtId="0" fontId="0" fillId="0" borderId="0" xfId="0"/>
    <xf numFmtId="165" fontId="0" fillId="0" borderId="0" xfId="1" applyNumberFormat="1" applyFont="1" applyBorder="1" applyProtection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3" fillId="2" borderId="3" xfId="0" applyFont="1" applyFill="1" applyBorder="1" applyAlignment="1">
      <alignment horizontal="left"/>
    </xf>
    <xf numFmtId="166" fontId="3" fillId="2" borderId="2" xfId="0" applyNumberFormat="1" applyFont="1" applyFill="1" applyBorder="1" applyAlignment="1">
      <alignment horizontal="left"/>
    </xf>
    <xf numFmtId="166" fontId="4" fillId="2" borderId="2" xfId="0" applyNumberFormat="1" applyFont="1" applyFill="1" applyBorder="1" applyAlignment="1">
      <alignment horizontal="left"/>
    </xf>
    <xf numFmtId="165" fontId="0" fillId="0" borderId="2" xfId="1" applyNumberFormat="1" applyFont="1" applyBorder="1" applyProtection="1"/>
    <xf numFmtId="165" fontId="0" fillId="0" borderId="5" xfId="1" applyNumberFormat="1" applyFont="1" applyBorder="1" applyProtection="1"/>
    <xf numFmtId="165" fontId="1" fillId="0" borderId="2" xfId="1" applyNumberFormat="1" applyFont="1" applyBorder="1" applyProtection="1"/>
    <xf numFmtId="165" fontId="0" fillId="3" borderId="2" xfId="1" applyNumberFormat="1" applyFont="1" applyFill="1" applyBorder="1" applyProtection="1"/>
    <xf numFmtId="0" fontId="6" fillId="3" borderId="3" xfId="0" applyFont="1" applyFill="1" applyBorder="1"/>
    <xf numFmtId="0" fontId="3" fillId="3" borderId="7" xfId="0" applyFont="1" applyFill="1" applyBorder="1"/>
    <xf numFmtId="165" fontId="2" fillId="0" borderId="0" xfId="1" applyNumberFormat="1" applyFont="1" applyBorder="1" applyProtection="1"/>
    <xf numFmtId="165" fontId="0" fillId="0" borderId="0" xfId="0" applyNumberFormat="1"/>
    <xf numFmtId="0" fontId="7" fillId="4" borderId="10" xfId="0" applyFont="1" applyFill="1" applyBorder="1" applyAlignment="1">
      <alignment horizontal="right" vertical="top" wrapText="1"/>
    </xf>
    <xf numFmtId="0" fontId="0" fillId="4" borderId="11" xfId="0" applyFill="1" applyBorder="1"/>
    <xf numFmtId="0" fontId="7" fillId="4" borderId="12" xfId="0" applyFont="1" applyFill="1" applyBorder="1" applyAlignment="1">
      <alignment horizontal="right" vertical="top" wrapText="1"/>
    </xf>
    <xf numFmtId="0" fontId="8" fillId="0" borderId="13" xfId="0" applyFont="1" applyBorder="1" applyAlignment="1">
      <alignment wrapText="1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horizontal="right" vertical="top" wrapText="1"/>
    </xf>
    <xf numFmtId="0" fontId="8" fillId="0" borderId="12" xfId="0" applyFont="1" applyBorder="1" applyAlignment="1">
      <alignment vertical="top" wrapText="1"/>
    </xf>
    <xf numFmtId="3" fontId="0" fillId="0" borderId="12" xfId="0" applyNumberFormat="1" applyBorder="1" applyAlignment="1">
      <alignment horizontal="right" vertical="top" wrapText="1"/>
    </xf>
    <xf numFmtId="3" fontId="8" fillId="0" borderId="12" xfId="0" applyNumberFormat="1" applyFont="1" applyBorder="1" applyAlignment="1">
      <alignment horizontal="right" vertical="top" wrapText="1"/>
    </xf>
    <xf numFmtId="9" fontId="8" fillId="0" borderId="12" xfId="0" applyNumberFormat="1" applyFont="1" applyBorder="1" applyAlignment="1">
      <alignment horizontal="right" vertical="top" wrapText="1"/>
    </xf>
    <xf numFmtId="165" fontId="5" fillId="5" borderId="4" xfId="1" applyNumberFormat="1" applyFont="1" applyFill="1" applyBorder="1" applyAlignment="1" applyProtection="1">
      <alignment vertical="top"/>
    </xf>
    <xf numFmtId="165" fontId="5" fillId="5" borderId="2" xfId="1" applyNumberFormat="1" applyFont="1" applyFill="1" applyBorder="1" applyAlignment="1" applyProtection="1">
      <alignment vertical="top"/>
    </xf>
    <xf numFmtId="0" fontId="9" fillId="6" borderId="0" xfId="0" applyFont="1" applyFill="1"/>
    <xf numFmtId="3" fontId="8" fillId="0" borderId="12" xfId="0" applyNumberFormat="1" applyFont="1" applyBorder="1" applyAlignment="1">
      <alignment horizontal="right" wrapText="1"/>
    </xf>
    <xf numFmtId="0" fontId="8" fillId="0" borderId="12" xfId="0" applyFont="1" applyBorder="1" applyAlignment="1">
      <alignment horizontal="right" vertical="top" wrapText="1"/>
    </xf>
    <xf numFmtId="0" fontId="8" fillId="0" borderId="12" xfId="0" applyFont="1" applyBorder="1" applyAlignment="1">
      <alignment horizontal="right" wrapText="1"/>
    </xf>
    <xf numFmtId="0" fontId="0" fillId="6" borderId="0" xfId="0" applyFill="1"/>
    <xf numFmtId="3" fontId="10" fillId="0" borderId="0" xfId="0" applyNumberFormat="1" applyFont="1"/>
    <xf numFmtId="9" fontId="0" fillId="0" borderId="0" xfId="2" applyFont="1" applyBorder="1" applyProtection="1"/>
    <xf numFmtId="3" fontId="0" fillId="0" borderId="0" xfId="0" applyNumberFormat="1"/>
    <xf numFmtId="0" fontId="6" fillId="0" borderId="13" xfId="0" applyFont="1" applyBorder="1" applyAlignment="1">
      <alignment vertical="top" wrapText="1"/>
    </xf>
    <xf numFmtId="0" fontId="6" fillId="0" borderId="8" xfId="0" applyFont="1" applyBorder="1" applyAlignment="1">
      <alignment wrapText="1"/>
    </xf>
    <xf numFmtId="0" fontId="8" fillId="0" borderId="9" xfId="0" applyFont="1" applyBorder="1" applyAlignment="1">
      <alignment vertical="top" wrapText="1"/>
    </xf>
    <xf numFmtId="3" fontId="8" fillId="0" borderId="12" xfId="0" applyNumberFormat="1" applyFont="1" applyBorder="1" applyAlignment="1">
      <alignment wrapText="1"/>
    </xf>
    <xf numFmtId="3" fontId="8" fillId="0" borderId="9" xfId="0" applyNumberFormat="1" applyFont="1" applyBorder="1" applyAlignment="1">
      <alignment vertical="top" wrapText="1"/>
    </xf>
    <xf numFmtId="9" fontId="8" fillId="0" borderId="9" xfId="0" applyNumberFormat="1" applyFont="1" applyBorder="1" applyAlignment="1">
      <alignment vertical="top" wrapText="1"/>
    </xf>
    <xf numFmtId="0" fontId="6" fillId="0" borderId="13" xfId="0" applyFont="1" applyBorder="1" applyAlignment="1">
      <alignment wrapText="1"/>
    </xf>
    <xf numFmtId="3" fontId="8" fillId="0" borderId="12" xfId="0" applyNumberFormat="1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3" fontId="8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wrapText="1"/>
    </xf>
    <xf numFmtId="0" fontId="7" fillId="0" borderId="12" xfId="0" applyFont="1" applyBorder="1" applyAlignment="1">
      <alignment wrapText="1"/>
    </xf>
    <xf numFmtId="3" fontId="6" fillId="0" borderId="11" xfId="0" applyNumberFormat="1" applyFont="1" applyBorder="1" applyAlignment="1">
      <alignment wrapText="1"/>
    </xf>
    <xf numFmtId="3" fontId="7" fillId="0" borderId="12" xfId="0" applyNumberFormat="1" applyFont="1" applyBorder="1" applyAlignment="1">
      <alignment wrapText="1"/>
    </xf>
    <xf numFmtId="3" fontId="11" fillId="0" borderId="12" xfId="0" applyNumberFormat="1" applyFont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3" fontId="6" fillId="0" borderId="12" xfId="0" applyNumberFormat="1" applyFont="1" applyBorder="1" applyAlignment="1">
      <alignment wrapText="1"/>
    </xf>
    <xf numFmtId="9" fontId="8" fillId="0" borderId="11" xfId="0" applyNumberFormat="1" applyFont="1" applyBorder="1" applyAlignment="1">
      <alignment vertical="top" wrapText="1"/>
    </xf>
    <xf numFmtId="9" fontId="8" fillId="0" borderId="12" xfId="0" applyNumberFormat="1" applyFont="1" applyBorder="1" applyAlignment="1">
      <alignment vertical="top" wrapText="1"/>
    </xf>
    <xf numFmtId="3" fontId="0" fillId="0" borderId="12" xfId="0" applyNumberFormat="1" applyBorder="1" applyAlignment="1">
      <alignment wrapText="1"/>
    </xf>
    <xf numFmtId="3" fontId="7" fillId="0" borderId="12" xfId="0" applyNumberFormat="1" applyFont="1" applyBorder="1" applyAlignment="1">
      <alignment vertical="top" wrapText="1"/>
    </xf>
    <xf numFmtId="9" fontId="7" fillId="0" borderId="12" xfId="0" applyNumberFormat="1" applyFont="1" applyBorder="1" applyAlignment="1">
      <alignment vertical="top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horizontal="right" vertical="top" wrapText="1"/>
    </xf>
    <xf numFmtId="9" fontId="8" fillId="0" borderId="0" xfId="0" applyNumberFormat="1" applyFont="1" applyAlignment="1">
      <alignment horizontal="right" vertical="top" wrapText="1"/>
    </xf>
    <xf numFmtId="0" fontId="8" fillId="0" borderId="14" xfId="0" applyFont="1" applyBorder="1" applyAlignment="1">
      <alignment wrapText="1"/>
    </xf>
    <xf numFmtId="165" fontId="15" fillId="7" borderId="2" xfId="1" applyNumberFormat="1" applyFont="1" applyFill="1" applyBorder="1" applyAlignment="1" applyProtection="1">
      <alignment vertical="top"/>
    </xf>
    <xf numFmtId="3" fontId="16" fillId="0" borderId="12" xfId="0" applyNumberFormat="1" applyFont="1" applyBorder="1" applyAlignment="1">
      <alignment horizontal="right" vertical="top" wrapText="1"/>
    </xf>
    <xf numFmtId="0" fontId="14" fillId="9" borderId="2" xfId="0" applyFont="1" applyFill="1" applyBorder="1"/>
    <xf numFmtId="165" fontId="14" fillId="10" borderId="2" xfId="1" applyNumberFormat="1" applyFont="1" applyFill="1" applyBorder="1" applyAlignment="1" applyProtection="1">
      <alignment vertical="top"/>
    </xf>
    <xf numFmtId="165" fontId="14" fillId="9" borderId="2" xfId="1" applyNumberFormat="1" applyFont="1" applyFill="1" applyBorder="1" applyProtection="1"/>
    <xf numFmtId="165" fontId="14" fillId="9" borderId="2" xfId="1" applyNumberFormat="1" applyFont="1" applyFill="1" applyBorder="1" applyAlignment="1" applyProtection="1">
      <alignment vertical="top"/>
    </xf>
    <xf numFmtId="165" fontId="14" fillId="11" borderId="2" xfId="1" applyNumberFormat="1" applyFont="1" applyFill="1" applyBorder="1" applyAlignment="1" applyProtection="1">
      <alignment vertical="top"/>
    </xf>
    <xf numFmtId="0" fontId="14" fillId="8" borderId="2" xfId="0" applyFont="1" applyFill="1" applyBorder="1"/>
    <xf numFmtId="165" fontId="14" fillId="12" borderId="2" xfId="1" applyNumberFormat="1" applyFont="1" applyFill="1" applyBorder="1" applyAlignment="1" applyProtection="1">
      <alignment vertical="top"/>
    </xf>
    <xf numFmtId="0" fontId="18" fillId="10" borderId="3" xfId="0" applyFont="1" applyFill="1" applyBorder="1"/>
    <xf numFmtId="0" fontId="18" fillId="10" borderId="7" xfId="0" applyFont="1" applyFill="1" applyBorder="1"/>
    <xf numFmtId="165" fontId="14" fillId="10" borderId="2" xfId="1" applyNumberFormat="1" applyFont="1" applyFill="1" applyBorder="1" applyProtection="1"/>
    <xf numFmtId="165" fontId="19" fillId="8" borderId="0" xfId="1" applyNumberFormat="1" applyFont="1" applyFill="1" applyBorder="1" applyProtection="1"/>
    <xf numFmtId="165" fontId="0" fillId="9" borderId="0" xfId="1" applyNumberFormat="1" applyFont="1" applyFill="1" applyBorder="1" applyProtection="1"/>
    <xf numFmtId="165" fontId="0" fillId="8" borderId="0" xfId="1" applyNumberFormat="1" applyFont="1" applyFill="1" applyBorder="1" applyProtection="1"/>
    <xf numFmtId="0" fontId="0" fillId="9" borderId="0" xfId="0" applyFill="1"/>
    <xf numFmtId="0" fontId="0" fillId="8" borderId="0" xfId="0" applyFill="1"/>
    <xf numFmtId="0" fontId="9" fillId="8" borderId="0" xfId="0" applyFont="1" applyFill="1"/>
    <xf numFmtId="165" fontId="17" fillId="5" borderId="2" xfId="1" applyNumberFormat="1" applyFont="1" applyFill="1" applyBorder="1" applyAlignment="1" applyProtection="1">
      <alignment vertical="top"/>
    </xf>
    <xf numFmtId="0" fontId="8" fillId="13" borderId="12" xfId="0" applyFont="1" applyFill="1" applyBorder="1" applyAlignment="1">
      <alignment vertical="top" wrapText="1"/>
    </xf>
    <xf numFmtId="3" fontId="8" fillId="13" borderId="12" xfId="0" applyNumberFormat="1" applyFont="1" applyFill="1" applyBorder="1" applyAlignment="1">
      <alignment horizontal="right" vertical="top" wrapText="1"/>
    </xf>
    <xf numFmtId="9" fontId="8" fillId="13" borderId="12" xfId="0" applyNumberFormat="1" applyFont="1" applyFill="1" applyBorder="1" applyAlignment="1">
      <alignment horizontal="right" vertical="top" wrapText="1"/>
    </xf>
    <xf numFmtId="165" fontId="0" fillId="10" borderId="2" xfId="1" applyNumberFormat="1" applyFont="1" applyFill="1" applyBorder="1" applyProtection="1"/>
    <xf numFmtId="165" fontId="0" fillId="10" borderId="0" xfId="0" applyNumberFormat="1" applyFill="1"/>
    <xf numFmtId="0" fontId="0" fillId="10" borderId="0" xfId="0" applyFill="1"/>
    <xf numFmtId="166" fontId="3" fillId="14" borderId="2" xfId="0" applyNumberFormat="1" applyFont="1" applyFill="1" applyBorder="1" applyAlignment="1">
      <alignment horizontal="left"/>
    </xf>
    <xf numFmtId="0" fontId="0" fillId="10" borderId="2" xfId="0" applyFill="1" applyBorder="1"/>
    <xf numFmtId="165" fontId="1" fillId="10" borderId="2" xfId="1" applyNumberFormat="1" applyFont="1" applyFill="1" applyBorder="1" applyProtection="1"/>
    <xf numFmtId="165" fontId="0" fillId="9" borderId="2" xfId="1" applyNumberFormat="1" applyFont="1" applyFill="1" applyBorder="1" applyProtection="1"/>
    <xf numFmtId="165" fontId="0" fillId="10" borderId="0" xfId="1" applyNumberFormat="1" applyFont="1" applyFill="1" applyBorder="1" applyProtection="1"/>
    <xf numFmtId="0" fontId="3" fillId="16" borderId="3" xfId="0" applyFont="1" applyFill="1" applyBorder="1" applyAlignment="1">
      <alignment horizontal="left"/>
    </xf>
    <xf numFmtId="166" fontId="3" fillId="16" borderId="2" xfId="0" applyNumberFormat="1" applyFont="1" applyFill="1" applyBorder="1" applyAlignment="1">
      <alignment horizontal="left"/>
    </xf>
    <xf numFmtId="167" fontId="3" fillId="16" borderId="2" xfId="0" applyNumberFormat="1" applyFont="1" applyFill="1" applyBorder="1" applyAlignment="1">
      <alignment horizontal="left"/>
    </xf>
    <xf numFmtId="14" fontId="0" fillId="0" borderId="0" xfId="0" applyNumberFormat="1"/>
    <xf numFmtId="165" fontId="13" fillId="0" borderId="0" xfId="1" applyNumberFormat="1"/>
    <xf numFmtId="0" fontId="20" fillId="0" borderId="0" xfId="0" applyFont="1"/>
    <xf numFmtId="165" fontId="0" fillId="17" borderId="2" xfId="1" applyNumberFormat="1" applyFont="1" applyFill="1" applyBorder="1" applyProtection="1"/>
    <xf numFmtId="165" fontId="1" fillId="17" borderId="2" xfId="1" applyNumberFormat="1" applyFont="1" applyFill="1" applyBorder="1" applyProtection="1"/>
    <xf numFmtId="165" fontId="13" fillId="17" borderId="0" xfId="1" applyNumberFormat="1" applyFill="1"/>
    <xf numFmtId="165" fontId="20" fillId="0" borderId="0" xfId="1" applyNumberFormat="1" applyFont="1" applyBorder="1" applyProtection="1"/>
    <xf numFmtId="165" fontId="21" fillId="10" borderId="2" xfId="1" applyNumberFormat="1" applyFont="1" applyFill="1" applyBorder="1" applyProtection="1"/>
    <xf numFmtId="165" fontId="13" fillId="0" borderId="2" xfId="1" applyNumberFormat="1" applyBorder="1" applyProtection="1"/>
    <xf numFmtId="165" fontId="13" fillId="0" borderId="2" xfId="1" applyNumberFormat="1" applyBorder="1"/>
    <xf numFmtId="165" fontId="20" fillId="10" borderId="2" xfId="1" applyNumberFormat="1" applyFont="1" applyFill="1" applyBorder="1" applyProtection="1"/>
    <xf numFmtId="165" fontId="0" fillId="9" borderId="0" xfId="0" applyNumberFormat="1" applyFill="1"/>
    <xf numFmtId="165" fontId="23" fillId="10" borderId="2" xfId="1" applyNumberFormat="1" applyFont="1" applyFill="1" applyBorder="1" applyProtection="1"/>
    <xf numFmtId="165" fontId="2" fillId="9" borderId="0" xfId="1" applyNumberFormat="1" applyFont="1" applyFill="1" applyBorder="1" applyProtection="1"/>
    <xf numFmtId="165" fontId="13" fillId="9" borderId="2" xfId="1" applyNumberFormat="1" applyFill="1" applyBorder="1" applyProtection="1"/>
    <xf numFmtId="0" fontId="16" fillId="0" borderId="0" xfId="0" applyFont="1" applyAlignment="1">
      <alignment wrapText="1"/>
    </xf>
    <xf numFmtId="3" fontId="25" fillId="0" borderId="11" xfId="0" applyNumberFormat="1" applyFont="1" applyBorder="1" applyAlignment="1">
      <alignment horizontal="right" vertical="top" wrapText="1"/>
    </xf>
    <xf numFmtId="9" fontId="8" fillId="0" borderId="11" xfId="0" applyNumberFormat="1" applyFont="1" applyBorder="1" applyAlignment="1">
      <alignment horizontal="right" vertical="top" wrapText="1"/>
    </xf>
    <xf numFmtId="9" fontId="8" fillId="0" borderId="2" xfId="0" applyNumberFormat="1" applyFont="1" applyBorder="1" applyAlignment="1">
      <alignment horizontal="right" vertical="top" wrapText="1"/>
    </xf>
    <xf numFmtId="0" fontId="25" fillId="0" borderId="14" xfId="0" applyFont="1" applyBorder="1" applyAlignment="1">
      <alignment wrapText="1"/>
    </xf>
    <xf numFmtId="0" fontId="25" fillId="0" borderId="2" xfId="0" applyFont="1" applyBorder="1" applyAlignment="1">
      <alignment wrapText="1"/>
    </xf>
    <xf numFmtId="3" fontId="25" fillId="0" borderId="2" xfId="0" applyNumberFormat="1" applyFont="1" applyBorder="1" applyAlignment="1">
      <alignment horizontal="right" vertical="top" wrapText="1"/>
    </xf>
    <xf numFmtId="165" fontId="13" fillId="9" borderId="0" xfId="1" applyNumberFormat="1" applyFill="1"/>
    <xf numFmtId="165" fontId="22" fillId="0" borderId="2" xfId="1" applyNumberFormat="1" applyFont="1" applyBorder="1" applyProtection="1"/>
    <xf numFmtId="0" fontId="20" fillId="9" borderId="0" xfId="0" applyFont="1" applyFill="1"/>
    <xf numFmtId="43" fontId="0" fillId="0" borderId="0" xfId="0" applyNumberFormat="1"/>
    <xf numFmtId="43" fontId="0" fillId="0" borderId="0" xfId="1" applyNumberFormat="1" applyFont="1" applyBorder="1" applyProtection="1"/>
    <xf numFmtId="3" fontId="25" fillId="9" borderId="0" xfId="0" applyNumberFormat="1" applyFont="1" applyFill="1" applyAlignment="1">
      <alignment horizontal="right" vertical="top" wrapText="1"/>
    </xf>
    <xf numFmtId="0" fontId="16" fillId="0" borderId="6" xfId="0" applyFont="1" applyBorder="1" applyAlignment="1">
      <alignment wrapText="1"/>
    </xf>
    <xf numFmtId="3" fontId="8" fillId="0" borderId="6" xfId="0" applyNumberFormat="1" applyFont="1" applyBorder="1" applyAlignment="1">
      <alignment horizontal="right" vertical="top" wrapText="1"/>
    </xf>
    <xf numFmtId="9" fontId="8" fillId="0" borderId="6" xfId="0" applyNumberFormat="1" applyFont="1" applyBorder="1" applyAlignment="1">
      <alignment horizontal="right" vertical="top" wrapText="1"/>
    </xf>
    <xf numFmtId="0" fontId="8" fillId="0" borderId="2" xfId="0" applyFont="1" applyBorder="1" applyAlignment="1">
      <alignment wrapText="1"/>
    </xf>
    <xf numFmtId="0" fontId="8" fillId="9" borderId="13" xfId="0" applyFont="1" applyFill="1" applyBorder="1" applyAlignment="1">
      <alignment wrapText="1"/>
    </xf>
    <xf numFmtId="0" fontId="8" fillId="9" borderId="12" xfId="0" applyFont="1" applyFill="1" applyBorder="1" applyAlignment="1">
      <alignment vertical="top" wrapText="1"/>
    </xf>
    <xf numFmtId="3" fontId="8" fillId="9" borderId="12" xfId="0" applyNumberFormat="1" applyFont="1" applyFill="1" applyBorder="1" applyAlignment="1">
      <alignment horizontal="right" vertical="top" wrapText="1"/>
    </xf>
    <xf numFmtId="9" fontId="8" fillId="9" borderId="12" xfId="0" applyNumberFormat="1" applyFont="1" applyFill="1" applyBorder="1" applyAlignment="1">
      <alignment horizontal="right" vertical="top" wrapText="1"/>
    </xf>
    <xf numFmtId="0" fontId="8" fillId="9" borderId="12" xfId="0" applyFont="1" applyFill="1" applyBorder="1" applyAlignment="1">
      <alignment horizontal="right" vertical="top" wrapText="1"/>
    </xf>
    <xf numFmtId="0" fontId="7" fillId="9" borderId="12" xfId="0" applyFont="1" applyFill="1" applyBorder="1" applyAlignment="1">
      <alignment vertical="top" wrapText="1"/>
    </xf>
    <xf numFmtId="166" fontId="26" fillId="2" borderId="2" xfId="0" applyNumberFormat="1" applyFont="1" applyFill="1" applyBorder="1" applyAlignment="1">
      <alignment horizontal="left"/>
    </xf>
    <xf numFmtId="165" fontId="3" fillId="15" borderId="2" xfId="1" applyNumberFormat="1" applyFont="1" applyFill="1" applyBorder="1" applyAlignment="1" applyProtection="1">
      <alignment vertical="top"/>
    </xf>
    <xf numFmtId="165" fontId="3" fillId="10" borderId="2" xfId="1" applyNumberFormat="1" applyFont="1" applyFill="1" applyBorder="1" applyAlignment="1" applyProtection="1">
      <alignment vertical="top"/>
    </xf>
    <xf numFmtId="165" fontId="3" fillId="14" borderId="2" xfId="1" applyNumberFormat="1" applyFont="1" applyFill="1" applyBorder="1" applyAlignment="1" applyProtection="1">
      <alignment vertical="top"/>
    </xf>
    <xf numFmtId="165" fontId="27" fillId="10" borderId="2" xfId="1" applyNumberFormat="1" applyFont="1" applyFill="1" applyBorder="1" applyProtection="1"/>
    <xf numFmtId="165" fontId="9" fillId="0" borderId="2" xfId="1" applyNumberFormat="1" applyFont="1" applyBorder="1" applyProtection="1"/>
    <xf numFmtId="166" fontId="28" fillId="2" borderId="2" xfId="0" applyNumberFormat="1" applyFont="1" applyFill="1" applyBorder="1" applyAlignment="1">
      <alignment horizontal="left"/>
    </xf>
    <xf numFmtId="165" fontId="9" fillId="10" borderId="2" xfId="1" applyNumberFormat="1" applyFont="1" applyFill="1" applyBorder="1" applyProtection="1"/>
    <xf numFmtId="165" fontId="9" fillId="9" borderId="2" xfId="1" applyNumberFormat="1" applyFont="1" applyFill="1" applyBorder="1" applyProtection="1"/>
    <xf numFmtId="0" fontId="9" fillId="0" borderId="0" xfId="0" applyFont="1"/>
    <xf numFmtId="165" fontId="9" fillId="0" borderId="0" xfId="0" applyNumberFormat="1" applyFont="1"/>
    <xf numFmtId="168" fontId="29" fillId="18" borderId="2" xfId="1" applyNumberFormat="1" applyFont="1" applyFill="1" applyBorder="1" applyAlignment="1">
      <alignment vertical="top"/>
    </xf>
    <xf numFmtId="168" fontId="29" fillId="0" borderId="4" xfId="1" applyNumberFormat="1" applyFont="1" applyBorder="1" applyAlignment="1">
      <alignment vertical="top"/>
    </xf>
    <xf numFmtId="168" fontId="29" fillId="0" borderId="2" xfId="1" applyNumberFormat="1" applyFont="1" applyBorder="1" applyAlignment="1">
      <alignment vertical="top"/>
    </xf>
    <xf numFmtId="168" fontId="29" fillId="19" borderId="2" xfId="1" applyNumberFormat="1" applyFont="1" applyFill="1" applyBorder="1" applyAlignment="1">
      <alignment vertical="top"/>
    </xf>
    <xf numFmtId="168" fontId="29" fillId="0" borderId="2" xfId="1" applyNumberFormat="1" applyFont="1" applyBorder="1" applyAlignment="1">
      <alignment vertical="top" wrapText="1"/>
    </xf>
    <xf numFmtId="0" fontId="30" fillId="0" borderId="0" xfId="0" applyFont="1"/>
    <xf numFmtId="166" fontId="31" fillId="2" borderId="2" xfId="0" applyNumberFormat="1" applyFont="1" applyFill="1" applyBorder="1" applyAlignment="1">
      <alignment horizontal="left"/>
    </xf>
    <xf numFmtId="165" fontId="30" fillId="0" borderId="2" xfId="1" applyNumberFormat="1" applyFont="1" applyBorder="1" applyProtection="1"/>
    <xf numFmtId="165" fontId="30" fillId="10" borderId="2" xfId="1" applyNumberFormat="1" applyFont="1" applyFill="1" applyBorder="1" applyProtection="1"/>
    <xf numFmtId="165" fontId="30" fillId="9" borderId="2" xfId="1" applyNumberFormat="1" applyFont="1" applyFill="1" applyBorder="1" applyProtection="1"/>
    <xf numFmtId="165" fontId="1" fillId="0" borderId="0" xfId="0" applyNumberFormat="1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4" borderId="9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center"/>
    </xf>
    <xf numFmtId="0" fontId="7" fillId="4" borderId="8" xfId="0" applyFont="1" applyFill="1" applyBorder="1" applyAlignment="1">
      <alignment vertical="top" wrapText="1"/>
    </xf>
    <xf numFmtId="0" fontId="7" fillId="4" borderId="9" xfId="0" applyFont="1" applyFill="1" applyBorder="1" applyAlignment="1">
      <alignment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BEBEB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C4BD9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6"/>
  <sheetViews>
    <sheetView topLeftCell="A2" zoomScaleNormal="100" workbookViewId="0">
      <selection activeCell="BD27" sqref="BD6:BD27"/>
    </sheetView>
  </sheetViews>
  <sheetFormatPr defaultRowHeight="14.25"/>
  <cols>
    <col min="1" max="1" width="9" customWidth="1"/>
    <col min="2" max="2" width="39.1328125" bestFit="1" customWidth="1"/>
    <col min="3" max="3" width="10.59765625" style="89" hidden="1" customWidth="1"/>
    <col min="4" max="14" width="10.59765625" hidden="1" customWidth="1"/>
    <col min="15" max="15" width="11.59765625" hidden="1" customWidth="1"/>
    <col min="16" max="16" width="13.3984375" hidden="1" customWidth="1"/>
    <col min="17" max="17" width="10.59765625" hidden="1" customWidth="1"/>
    <col min="18" max="18" width="9.1328125" hidden="1" customWidth="1"/>
    <col min="19" max="19" width="11.265625" hidden="1" customWidth="1"/>
    <col min="20" max="20" width="13" hidden="1" customWidth="1"/>
    <col min="21" max="21" width="12.1328125" style="152" hidden="1" customWidth="1"/>
    <col min="22" max="22" width="11.265625" hidden="1" customWidth="1"/>
    <col min="23" max="23" width="10.59765625" customWidth="1"/>
    <col min="24" max="24" width="11.59765625" customWidth="1"/>
    <col min="25" max="25" width="13.265625" customWidth="1"/>
    <col min="26" max="26" width="10.59765625" customWidth="1"/>
    <col min="27" max="27" width="11.73046875" style="2" customWidth="1"/>
    <col min="28" max="29" width="10.59765625" style="2" customWidth="1"/>
    <col min="30" max="32" width="10.59765625" hidden="1" customWidth="1"/>
    <col min="33" max="33" width="10.59765625" style="145" hidden="1" customWidth="1"/>
    <col min="34" max="34" width="10.59765625" hidden="1" customWidth="1"/>
    <col min="35" max="35" width="11.265625" hidden="1" customWidth="1"/>
    <col min="36" max="36" width="10.59765625" style="145" hidden="1" customWidth="1"/>
    <col min="37" max="37" width="13.265625" hidden="1" customWidth="1"/>
    <col min="38" max="38" width="11.59765625" style="3" hidden="1" customWidth="1"/>
    <col min="39" max="39" width="14" hidden="1" customWidth="1"/>
    <col min="40" max="42" width="10.59765625" hidden="1" customWidth="1"/>
    <col min="43" max="43" width="13.265625" style="1" hidden="1" customWidth="1"/>
    <col min="44" max="44" width="12.3984375" style="1" hidden="1" customWidth="1"/>
    <col min="45" max="45" width="13.265625" style="1" hidden="1" customWidth="1"/>
    <col min="46" max="46" width="12" hidden="1" customWidth="1"/>
    <col min="47" max="51" width="10.59765625" hidden="1" customWidth="1"/>
    <col min="52" max="52" width="10.59765625" style="3" hidden="1" customWidth="1"/>
    <col min="53" max="53" width="10.59765625" hidden="1" customWidth="1"/>
    <col min="54" max="55" width="12.3984375" hidden="1" customWidth="1"/>
    <col min="56" max="56" width="12.59765625" customWidth="1"/>
    <col min="57" max="57" width="9" customWidth="1"/>
    <col min="58" max="58" width="12.3984375" bestFit="1" customWidth="1"/>
    <col min="59" max="1024" width="9" customWidth="1"/>
  </cols>
  <sheetData>
    <row r="1" spans="1:63">
      <c r="A1" s="158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63">
      <c r="A2" s="158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1:63">
      <c r="A3" s="158" t="s">
        <v>2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</row>
    <row r="4" spans="1:63">
      <c r="A4" s="159" t="s">
        <v>3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63">
      <c r="A5" s="4" t="s">
        <v>4</v>
      </c>
      <c r="B5" s="95" t="s">
        <v>5</v>
      </c>
      <c r="C5" s="90">
        <v>45292</v>
      </c>
      <c r="D5" s="97">
        <v>45298</v>
      </c>
      <c r="E5" s="96">
        <v>45305</v>
      </c>
      <c r="F5" s="96">
        <v>45312</v>
      </c>
      <c r="G5" s="96" t="s">
        <v>230</v>
      </c>
      <c r="H5" s="96">
        <v>45326</v>
      </c>
      <c r="I5" s="96">
        <v>44969</v>
      </c>
      <c r="J5" s="6">
        <v>45340</v>
      </c>
      <c r="K5" s="6">
        <v>45347</v>
      </c>
      <c r="L5" s="6">
        <v>45354</v>
      </c>
      <c r="M5" s="6">
        <v>44995</v>
      </c>
      <c r="N5" s="6">
        <v>45368</v>
      </c>
      <c r="O5" s="6">
        <v>45379</v>
      </c>
      <c r="P5" s="6">
        <v>45380</v>
      </c>
      <c r="Q5" s="6">
        <v>45382</v>
      </c>
      <c r="R5" s="6">
        <v>45017</v>
      </c>
      <c r="S5" s="6">
        <v>45389</v>
      </c>
      <c r="T5" s="6">
        <v>45030</v>
      </c>
      <c r="U5" s="153">
        <v>45037</v>
      </c>
      <c r="V5" s="142">
        <v>45410</v>
      </c>
      <c r="W5" s="6">
        <v>45417</v>
      </c>
      <c r="X5" s="6">
        <v>45058</v>
      </c>
      <c r="Y5" s="6">
        <v>45431</v>
      </c>
      <c r="Z5" s="6">
        <v>45438</v>
      </c>
      <c r="AA5" s="7">
        <v>45445</v>
      </c>
      <c r="AB5" s="7">
        <v>45452</v>
      </c>
      <c r="AC5" s="7">
        <v>45459</v>
      </c>
      <c r="AD5" s="6">
        <v>45109</v>
      </c>
      <c r="AE5" s="6">
        <v>45116</v>
      </c>
      <c r="AF5" s="6">
        <v>44766</v>
      </c>
      <c r="AG5" s="142">
        <v>45123</v>
      </c>
      <c r="AH5" s="6">
        <v>45130</v>
      </c>
      <c r="AI5" s="6">
        <v>45137</v>
      </c>
      <c r="AJ5" s="142">
        <v>45144</v>
      </c>
      <c r="AK5" s="6">
        <v>45151</v>
      </c>
      <c r="AL5" s="142">
        <v>45158</v>
      </c>
      <c r="AM5" s="136" t="s">
        <v>215</v>
      </c>
      <c r="AN5" s="6">
        <v>44822</v>
      </c>
      <c r="AO5" s="6">
        <v>44829</v>
      </c>
      <c r="AP5" s="6">
        <v>44836</v>
      </c>
      <c r="AQ5" s="6">
        <v>44843</v>
      </c>
      <c r="AR5" s="6">
        <v>44850</v>
      </c>
      <c r="AS5" s="6">
        <v>44857</v>
      </c>
      <c r="AT5" s="6">
        <v>44864</v>
      </c>
      <c r="AU5" s="6">
        <v>44871</v>
      </c>
      <c r="AV5" s="6">
        <v>44878</v>
      </c>
      <c r="AW5" s="6">
        <v>44885</v>
      </c>
      <c r="AX5" s="6">
        <v>44892</v>
      </c>
      <c r="AY5" s="6">
        <v>44899</v>
      </c>
      <c r="AZ5" s="6">
        <v>44906</v>
      </c>
      <c r="BA5" s="6">
        <v>44913</v>
      </c>
      <c r="BB5" s="6">
        <v>44920</v>
      </c>
      <c r="BC5" s="6">
        <v>44921</v>
      </c>
      <c r="BD5" s="6" t="s">
        <v>6</v>
      </c>
    </row>
    <row r="6" spans="1:63">
      <c r="A6" s="4" t="s">
        <v>7</v>
      </c>
      <c r="B6" s="147" t="s">
        <v>41</v>
      </c>
      <c r="C6" s="137">
        <v>615350</v>
      </c>
      <c r="D6" s="106" t="s">
        <v>9</v>
      </c>
      <c r="E6" s="8">
        <v>0</v>
      </c>
      <c r="F6" s="8" t="s">
        <v>9</v>
      </c>
      <c r="G6" s="8" t="s">
        <v>9</v>
      </c>
      <c r="H6" s="8" t="s">
        <v>9</v>
      </c>
      <c r="I6" s="8" t="s">
        <v>9</v>
      </c>
      <c r="J6" s="8" t="s">
        <v>9</v>
      </c>
      <c r="K6" s="8" t="s">
        <v>9</v>
      </c>
      <c r="L6" s="8" t="s">
        <v>9</v>
      </c>
      <c r="M6" s="8" t="s">
        <v>9</v>
      </c>
      <c r="N6" s="8"/>
      <c r="O6" s="8" t="s">
        <v>9</v>
      </c>
      <c r="P6" s="9">
        <v>0</v>
      </c>
      <c r="Q6" s="8"/>
      <c r="R6" s="8" t="s">
        <v>9</v>
      </c>
      <c r="S6" s="8">
        <v>0</v>
      </c>
      <c r="T6" s="8">
        <v>0</v>
      </c>
      <c r="U6" s="154" t="s">
        <v>9</v>
      </c>
      <c r="V6" s="141">
        <v>242650</v>
      </c>
      <c r="W6" s="8" t="s">
        <v>97</v>
      </c>
      <c r="X6" s="8">
        <v>0</v>
      </c>
      <c r="Y6" s="8">
        <v>0</v>
      </c>
      <c r="Z6" s="8">
        <v>0</v>
      </c>
      <c r="AA6" s="10">
        <v>0</v>
      </c>
      <c r="AB6" s="10">
        <v>0</v>
      </c>
      <c r="AC6" s="10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11">
        <f t="shared" ref="BD6:BD26" si="0">SUM(C6:BC6)</f>
        <v>858000</v>
      </c>
      <c r="BE6" s="1"/>
      <c r="BF6" s="1"/>
      <c r="BG6" s="1"/>
      <c r="BH6" s="1"/>
      <c r="BI6" s="1"/>
      <c r="BJ6" s="1"/>
      <c r="BK6" s="1"/>
    </row>
    <row r="7" spans="1:63">
      <c r="A7" s="4" t="s">
        <v>10</v>
      </c>
      <c r="B7" s="148" t="s">
        <v>216</v>
      </c>
      <c r="C7" s="137">
        <v>204650</v>
      </c>
      <c r="D7" s="106">
        <v>143650</v>
      </c>
      <c r="E7" s="8">
        <v>343950</v>
      </c>
      <c r="F7" s="8">
        <v>205250</v>
      </c>
      <c r="G7" s="8">
        <v>283200</v>
      </c>
      <c r="H7" s="8">
        <v>370500</v>
      </c>
      <c r="I7" s="8">
        <v>340600</v>
      </c>
      <c r="J7" s="8">
        <v>400600</v>
      </c>
      <c r="K7" s="8">
        <v>285850</v>
      </c>
      <c r="L7" s="8">
        <v>324500</v>
      </c>
      <c r="M7" s="8">
        <v>298000</v>
      </c>
      <c r="N7" s="8">
        <v>319650</v>
      </c>
      <c r="O7" s="8" t="s">
        <v>9</v>
      </c>
      <c r="P7" s="8">
        <v>0</v>
      </c>
      <c r="Q7" s="8" t="s">
        <v>9</v>
      </c>
      <c r="R7" s="8"/>
      <c r="S7" s="8">
        <v>290500</v>
      </c>
      <c r="T7" s="8">
        <v>189700</v>
      </c>
      <c r="U7" s="154">
        <v>310500</v>
      </c>
      <c r="V7" s="141">
        <v>301500</v>
      </c>
      <c r="W7" s="8">
        <v>288750</v>
      </c>
      <c r="X7" s="8">
        <v>307000</v>
      </c>
      <c r="Y7" s="8">
        <v>313350</v>
      </c>
      <c r="Z7" s="8">
        <v>320200</v>
      </c>
      <c r="AA7" s="10">
        <v>336100</v>
      </c>
      <c r="AB7" s="10">
        <v>324850</v>
      </c>
      <c r="AC7" s="10">
        <v>359750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11">
        <f t="shared" si="0"/>
        <v>6862600</v>
      </c>
      <c r="BE7" s="1"/>
      <c r="BF7" s="1"/>
      <c r="BG7" s="1"/>
      <c r="BH7" s="1"/>
      <c r="BI7" s="1"/>
      <c r="BJ7" s="1"/>
      <c r="BK7" s="1"/>
    </row>
    <row r="8" spans="1:63">
      <c r="A8" s="4" t="s">
        <v>12</v>
      </c>
      <c r="B8" s="149" t="s">
        <v>217</v>
      </c>
      <c r="C8" s="137">
        <v>0</v>
      </c>
      <c r="D8" s="106">
        <v>131000</v>
      </c>
      <c r="E8" s="8">
        <v>313000</v>
      </c>
      <c r="F8" s="8">
        <v>257000</v>
      </c>
      <c r="G8" s="8">
        <v>262700</v>
      </c>
      <c r="H8" s="8">
        <v>376000</v>
      </c>
      <c r="I8" s="8">
        <v>257000</v>
      </c>
      <c r="J8" s="8">
        <v>326700</v>
      </c>
      <c r="K8" s="8">
        <v>327900</v>
      </c>
      <c r="L8" s="8">
        <v>360850</v>
      </c>
      <c r="M8" s="8">
        <v>394500</v>
      </c>
      <c r="N8" s="8">
        <v>422500</v>
      </c>
      <c r="O8" s="8" t="s">
        <v>9</v>
      </c>
      <c r="P8" s="8">
        <v>0</v>
      </c>
      <c r="Q8" s="8">
        <v>492800</v>
      </c>
      <c r="R8" s="8"/>
      <c r="S8" s="8">
        <v>344200</v>
      </c>
      <c r="T8" s="8">
        <v>256000</v>
      </c>
      <c r="U8" s="154">
        <v>405600</v>
      </c>
      <c r="V8" s="141">
        <v>51000</v>
      </c>
      <c r="W8" s="8">
        <v>357000</v>
      </c>
      <c r="X8" s="8">
        <v>361200</v>
      </c>
      <c r="Y8" s="8">
        <v>390100</v>
      </c>
      <c r="Z8" s="8">
        <v>408100</v>
      </c>
      <c r="AA8" s="10">
        <v>388000</v>
      </c>
      <c r="AB8" s="10">
        <v>333700</v>
      </c>
      <c r="AC8" s="10">
        <v>397000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11">
        <f t="shared" si="0"/>
        <v>7613850</v>
      </c>
      <c r="BE8" s="1"/>
      <c r="BF8" s="1"/>
      <c r="BG8" s="1"/>
      <c r="BH8" s="1"/>
      <c r="BI8" s="1"/>
      <c r="BJ8" s="1"/>
      <c r="BK8" s="1"/>
    </row>
    <row r="9" spans="1:63">
      <c r="A9" s="4" t="s">
        <v>14</v>
      </c>
      <c r="B9" s="149" t="s">
        <v>13</v>
      </c>
      <c r="C9" s="137">
        <v>0</v>
      </c>
      <c r="D9" s="106">
        <v>0</v>
      </c>
      <c r="E9" s="8">
        <v>38900</v>
      </c>
      <c r="F9" s="8">
        <v>20500</v>
      </c>
      <c r="G9" s="8">
        <v>37400</v>
      </c>
      <c r="H9" s="8">
        <v>49400</v>
      </c>
      <c r="I9" s="8">
        <v>56600</v>
      </c>
      <c r="J9" s="8">
        <v>48350</v>
      </c>
      <c r="K9" s="8">
        <v>55850</v>
      </c>
      <c r="L9" s="8">
        <v>54900</v>
      </c>
      <c r="M9" s="8">
        <v>51350</v>
      </c>
      <c r="N9" s="8">
        <v>57000</v>
      </c>
      <c r="O9" s="8" t="s">
        <v>9</v>
      </c>
      <c r="P9" s="8">
        <v>0</v>
      </c>
      <c r="Q9" s="8">
        <v>103050</v>
      </c>
      <c r="R9" s="8" t="s">
        <v>9</v>
      </c>
      <c r="S9" s="8">
        <v>45250</v>
      </c>
      <c r="T9" s="8">
        <v>30550</v>
      </c>
      <c r="U9" s="154">
        <v>53500</v>
      </c>
      <c r="V9" s="141">
        <v>269800</v>
      </c>
      <c r="W9" s="8">
        <v>70500</v>
      </c>
      <c r="X9" s="8">
        <v>51750</v>
      </c>
      <c r="Y9" s="8">
        <v>48100</v>
      </c>
      <c r="Z9" s="8">
        <v>57800</v>
      </c>
      <c r="AA9" s="10">
        <v>47800</v>
      </c>
      <c r="AB9" s="10">
        <v>42400</v>
      </c>
      <c r="AC9" s="10">
        <v>55750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11">
        <f t="shared" si="0"/>
        <v>1346500</v>
      </c>
      <c r="BE9" s="1"/>
      <c r="BF9" s="1"/>
      <c r="BG9" s="1"/>
      <c r="BH9" s="1"/>
      <c r="BI9" s="1"/>
      <c r="BJ9" s="1"/>
      <c r="BK9" s="1"/>
    </row>
    <row r="10" spans="1:63">
      <c r="A10" s="4" t="s">
        <v>17</v>
      </c>
      <c r="B10" s="149" t="s">
        <v>79</v>
      </c>
      <c r="C10" s="137">
        <v>0</v>
      </c>
      <c r="D10" s="106">
        <v>0</v>
      </c>
      <c r="E10" s="8">
        <v>0</v>
      </c>
      <c r="F10" s="8">
        <v>0</v>
      </c>
      <c r="G10" s="8" t="s">
        <v>9</v>
      </c>
      <c r="H10" s="8">
        <v>0</v>
      </c>
      <c r="I10" s="8">
        <v>0</v>
      </c>
      <c r="J10" s="8">
        <v>0</v>
      </c>
      <c r="K10" s="8"/>
      <c r="L10" s="8">
        <v>0</v>
      </c>
      <c r="M10" s="8">
        <v>0</v>
      </c>
      <c r="N10" s="8"/>
      <c r="O10" s="8" t="s">
        <v>9</v>
      </c>
      <c r="P10" s="8">
        <v>0</v>
      </c>
      <c r="Q10" s="8">
        <v>0</v>
      </c>
      <c r="R10" s="8"/>
      <c r="S10" s="8">
        <v>0</v>
      </c>
      <c r="T10" s="8">
        <v>295000</v>
      </c>
      <c r="U10" s="154">
        <v>0</v>
      </c>
      <c r="V10" s="141">
        <v>166000</v>
      </c>
      <c r="W10" s="8"/>
      <c r="X10" s="8">
        <v>0</v>
      </c>
      <c r="Y10" s="8">
        <v>0</v>
      </c>
      <c r="Z10" s="8">
        <v>205000</v>
      </c>
      <c r="AA10" s="10">
        <v>0</v>
      </c>
      <c r="AB10" s="10"/>
      <c r="AC10" s="10"/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11">
        <f t="shared" si="0"/>
        <v>666000</v>
      </c>
      <c r="BE10" s="1"/>
      <c r="BF10" s="1"/>
      <c r="BG10" s="1"/>
      <c r="BH10" s="1"/>
      <c r="BI10" s="1"/>
      <c r="BJ10" s="1"/>
      <c r="BK10" s="1"/>
    </row>
    <row r="11" spans="1:63">
      <c r="A11" s="4" t="s">
        <v>19</v>
      </c>
      <c r="B11" s="149" t="s">
        <v>231</v>
      </c>
      <c r="C11" s="137">
        <v>0</v>
      </c>
      <c r="D11" s="106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65100</v>
      </c>
      <c r="K11" s="8">
        <v>0</v>
      </c>
      <c r="L11" s="8">
        <v>20000</v>
      </c>
      <c r="M11" s="8">
        <v>19000</v>
      </c>
      <c r="N11" s="8">
        <v>10500</v>
      </c>
      <c r="O11" s="8" t="s">
        <v>9</v>
      </c>
      <c r="P11" s="8">
        <v>138050</v>
      </c>
      <c r="Q11" s="8">
        <v>1073400</v>
      </c>
      <c r="R11" s="8">
        <v>145650</v>
      </c>
      <c r="S11" s="8">
        <v>0</v>
      </c>
      <c r="T11" s="8">
        <v>150200</v>
      </c>
      <c r="U11" s="154">
        <v>0</v>
      </c>
      <c r="V11" s="141">
        <v>230000</v>
      </c>
      <c r="W11" s="8">
        <v>0</v>
      </c>
      <c r="X11" s="8">
        <v>46200</v>
      </c>
      <c r="Y11" s="8">
        <v>0</v>
      </c>
      <c r="Z11" s="8">
        <v>0</v>
      </c>
      <c r="AA11" s="10">
        <v>0</v>
      </c>
      <c r="AB11" s="10" t="s">
        <v>9</v>
      </c>
      <c r="AC11" s="10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11">
        <f t="shared" si="0"/>
        <v>1898100</v>
      </c>
      <c r="BE11" s="1"/>
      <c r="BF11" s="1"/>
      <c r="BG11" s="1"/>
      <c r="BH11" s="1"/>
      <c r="BI11" s="1"/>
      <c r="BJ11" s="1"/>
      <c r="BK11" s="1"/>
    </row>
    <row r="12" spans="1:63">
      <c r="A12" s="4" t="s">
        <v>21</v>
      </c>
      <c r="B12" s="149" t="s">
        <v>218</v>
      </c>
      <c r="C12" s="137"/>
      <c r="D12" s="106">
        <v>184500</v>
      </c>
      <c r="E12" s="8">
        <v>369450</v>
      </c>
      <c r="F12" s="8">
        <v>500000</v>
      </c>
      <c r="G12" s="8">
        <v>157000</v>
      </c>
      <c r="H12" s="8" t="s">
        <v>9</v>
      </c>
      <c r="I12" s="8">
        <v>292250</v>
      </c>
      <c r="J12" s="8">
        <v>405500</v>
      </c>
      <c r="K12" s="8">
        <v>337500</v>
      </c>
      <c r="L12" s="8">
        <v>16800</v>
      </c>
      <c r="M12" s="8">
        <v>258500</v>
      </c>
      <c r="N12" s="8">
        <v>0</v>
      </c>
      <c r="O12" s="8" t="s">
        <v>9</v>
      </c>
      <c r="P12" s="8"/>
      <c r="Q12" s="8">
        <v>400500</v>
      </c>
      <c r="R12" s="9" t="s">
        <v>9</v>
      </c>
      <c r="S12" s="8">
        <v>100500</v>
      </c>
      <c r="T12" s="8">
        <v>0</v>
      </c>
      <c r="U12" s="154">
        <v>138550</v>
      </c>
      <c r="V12" s="141"/>
      <c r="W12" s="8">
        <v>39500</v>
      </c>
      <c r="X12" s="8">
        <v>103300</v>
      </c>
      <c r="Y12" s="8">
        <v>0</v>
      </c>
      <c r="Z12" s="8">
        <v>150000</v>
      </c>
      <c r="AA12" s="10">
        <v>50000</v>
      </c>
      <c r="AB12" s="10">
        <v>167800</v>
      </c>
      <c r="AC12" s="10">
        <v>170500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11">
        <f t="shared" si="0"/>
        <v>3842150</v>
      </c>
      <c r="BE12" s="1"/>
      <c r="BF12" s="1"/>
      <c r="BG12" s="1"/>
      <c r="BH12" s="1"/>
      <c r="BI12" s="1"/>
      <c r="BJ12" s="1"/>
      <c r="BK12" s="1"/>
    </row>
    <row r="13" spans="1:63">
      <c r="A13" s="4" t="s">
        <v>31</v>
      </c>
      <c r="B13" s="149" t="s">
        <v>22</v>
      </c>
      <c r="C13" s="137"/>
      <c r="D13" s="106">
        <v>0</v>
      </c>
      <c r="E13" s="8">
        <v>0</v>
      </c>
      <c r="F13" s="8">
        <v>0</v>
      </c>
      <c r="G13" s="8">
        <v>0</v>
      </c>
      <c r="H13" s="8">
        <v>166700</v>
      </c>
      <c r="I13" s="8">
        <v>0</v>
      </c>
      <c r="J13" s="8">
        <v>0</v>
      </c>
      <c r="K13" s="8">
        <v>0</v>
      </c>
      <c r="L13" s="8" t="s">
        <v>9</v>
      </c>
      <c r="M13" s="8">
        <v>0</v>
      </c>
      <c r="N13" s="8" t="s">
        <v>9</v>
      </c>
      <c r="O13" s="8">
        <v>55600</v>
      </c>
      <c r="P13" s="8">
        <v>0</v>
      </c>
      <c r="Q13" s="8">
        <v>0</v>
      </c>
      <c r="R13" s="8">
        <v>31700</v>
      </c>
      <c r="S13" s="8">
        <v>0</v>
      </c>
      <c r="T13" s="8">
        <v>0</v>
      </c>
      <c r="U13" s="154"/>
      <c r="V13" s="141"/>
      <c r="W13" s="8"/>
      <c r="X13" s="8"/>
      <c r="Y13" s="8"/>
      <c r="Z13" s="8"/>
      <c r="AA13" s="10">
        <v>103100</v>
      </c>
      <c r="AB13" s="10"/>
      <c r="AC13" s="10"/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11">
        <f t="shared" si="0"/>
        <v>357100</v>
      </c>
      <c r="BE13" s="1"/>
      <c r="BF13" s="1"/>
      <c r="BG13" s="1"/>
      <c r="BH13" s="1"/>
      <c r="BI13" s="1"/>
      <c r="BJ13" s="1"/>
      <c r="BK13" s="1"/>
    </row>
    <row r="14" spans="1:63">
      <c r="A14" s="4" t="s">
        <v>23</v>
      </c>
      <c r="B14" s="149" t="s">
        <v>219</v>
      </c>
      <c r="C14" s="137"/>
      <c r="D14" s="106">
        <v>0</v>
      </c>
      <c r="E14" s="8">
        <v>0</v>
      </c>
      <c r="F14" s="8">
        <v>0</v>
      </c>
      <c r="G14" s="8">
        <v>0</v>
      </c>
      <c r="H14" s="8" t="s">
        <v>9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/>
      <c r="O14" s="8">
        <v>0</v>
      </c>
      <c r="P14" s="8" t="s">
        <v>9</v>
      </c>
      <c r="Q14" s="8">
        <v>0</v>
      </c>
      <c r="R14" s="8">
        <v>66000</v>
      </c>
      <c r="S14" s="8">
        <v>0</v>
      </c>
      <c r="T14" s="8">
        <v>0</v>
      </c>
      <c r="U14" s="154"/>
      <c r="V14" s="141"/>
      <c r="W14" s="8"/>
      <c r="X14" s="8"/>
      <c r="Y14" s="8"/>
      <c r="Z14" s="8"/>
      <c r="AA14" s="10"/>
      <c r="AB14" s="10"/>
      <c r="AC14" s="10" t="s">
        <v>9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11">
        <f t="shared" si="0"/>
        <v>66000</v>
      </c>
      <c r="BE14" s="1"/>
      <c r="BF14" s="1"/>
      <c r="BG14" s="1"/>
      <c r="BH14" s="1"/>
      <c r="BI14" s="1"/>
      <c r="BJ14" s="1"/>
      <c r="BK14" s="1"/>
    </row>
    <row r="15" spans="1:63">
      <c r="A15" s="4" t="s">
        <v>25</v>
      </c>
      <c r="B15" s="149" t="s">
        <v>51</v>
      </c>
      <c r="C15" s="137"/>
      <c r="D15" s="106">
        <v>0</v>
      </c>
      <c r="E15" s="8">
        <v>0</v>
      </c>
      <c r="F15" s="8">
        <v>0</v>
      </c>
      <c r="G15" s="8">
        <v>0</v>
      </c>
      <c r="H15" s="8" t="s">
        <v>9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/>
      <c r="O15" s="8">
        <v>0</v>
      </c>
      <c r="P15" s="8"/>
      <c r="Q15" s="8">
        <v>0</v>
      </c>
      <c r="R15" s="8" t="s">
        <v>9</v>
      </c>
      <c r="S15" s="8">
        <v>0</v>
      </c>
      <c r="T15" s="8">
        <v>0</v>
      </c>
      <c r="U15" s="154"/>
      <c r="V15" s="141"/>
      <c r="W15" s="8"/>
      <c r="X15" s="8"/>
      <c r="Y15" s="8"/>
      <c r="Z15" s="8"/>
      <c r="AA15" s="10">
        <v>20000</v>
      </c>
      <c r="AB15" s="10"/>
      <c r="AC15" s="10"/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11">
        <f t="shared" si="0"/>
        <v>20000</v>
      </c>
      <c r="BE15" s="1"/>
      <c r="BF15" s="1"/>
      <c r="BG15" s="1"/>
      <c r="BH15" s="1"/>
      <c r="BI15" s="1"/>
      <c r="BJ15" s="1"/>
      <c r="BK15" s="1"/>
    </row>
    <row r="16" spans="1:63">
      <c r="A16" s="4" t="s">
        <v>27</v>
      </c>
      <c r="B16" s="149" t="s">
        <v>52</v>
      </c>
      <c r="C16" s="137"/>
      <c r="D16" s="106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 t="s">
        <v>9</v>
      </c>
      <c r="M16" s="8">
        <v>0</v>
      </c>
      <c r="N16" s="8"/>
      <c r="O16" s="8">
        <v>0</v>
      </c>
      <c r="P16" s="8" t="s">
        <v>9</v>
      </c>
      <c r="Q16" s="8">
        <v>0</v>
      </c>
      <c r="R16" s="8" t="s">
        <v>9</v>
      </c>
      <c r="S16" s="8">
        <v>0</v>
      </c>
      <c r="T16" s="8">
        <v>0</v>
      </c>
      <c r="U16" s="154"/>
      <c r="V16" s="141"/>
      <c r="W16" s="8"/>
      <c r="X16" s="8"/>
      <c r="Y16" s="8"/>
      <c r="Z16" s="8"/>
      <c r="AA16" s="10"/>
      <c r="AB16" s="10"/>
      <c r="AC16" s="10"/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11">
        <f t="shared" si="0"/>
        <v>0</v>
      </c>
      <c r="BE16" s="1"/>
      <c r="BF16" s="1"/>
      <c r="BG16" s="1"/>
      <c r="BH16" s="1"/>
      <c r="BI16" s="1"/>
      <c r="BJ16" s="1"/>
      <c r="BK16" s="1"/>
    </row>
    <row r="17" spans="1:63">
      <c r="A17" s="4" t="s">
        <v>29</v>
      </c>
      <c r="B17" s="149" t="s">
        <v>220</v>
      </c>
      <c r="C17" s="137">
        <v>292000</v>
      </c>
      <c r="D17" s="106">
        <v>212300</v>
      </c>
      <c r="E17" s="8">
        <v>34000</v>
      </c>
      <c r="F17" s="8">
        <v>78700</v>
      </c>
      <c r="G17" s="8">
        <v>2054150</v>
      </c>
      <c r="H17" s="8">
        <v>1610600</v>
      </c>
      <c r="I17" s="8"/>
      <c r="J17" s="8">
        <v>0</v>
      </c>
      <c r="K17" s="8">
        <v>141000</v>
      </c>
      <c r="L17" s="8">
        <v>2936600</v>
      </c>
      <c r="M17" s="8">
        <v>947000</v>
      </c>
      <c r="N17" s="8">
        <v>26000</v>
      </c>
      <c r="O17" s="8" t="s">
        <v>9</v>
      </c>
      <c r="P17" s="8" t="s">
        <v>9</v>
      </c>
      <c r="Q17" s="8">
        <v>2292150</v>
      </c>
      <c r="R17" s="8"/>
      <c r="S17" s="8">
        <v>1346900</v>
      </c>
      <c r="T17" s="8">
        <v>72000</v>
      </c>
      <c r="U17" s="154"/>
      <c r="V17" s="141"/>
      <c r="W17" s="8">
        <v>1405900</v>
      </c>
      <c r="X17" s="8">
        <v>65000</v>
      </c>
      <c r="Y17" s="8">
        <v>154000</v>
      </c>
      <c r="Z17" s="8">
        <v>2274300</v>
      </c>
      <c r="AA17" s="10">
        <v>928050</v>
      </c>
      <c r="AB17" s="10">
        <v>122000</v>
      </c>
      <c r="AC17" s="10">
        <v>17000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11">
        <f t="shared" si="0"/>
        <v>17009650</v>
      </c>
      <c r="BE17" s="1"/>
      <c r="BF17" s="1"/>
      <c r="BG17" s="1"/>
      <c r="BH17" s="1"/>
      <c r="BI17" s="1"/>
      <c r="BJ17" s="1"/>
      <c r="BK17" s="1"/>
    </row>
    <row r="18" spans="1:63" ht="15.75" customHeight="1">
      <c r="A18" s="4" t="s">
        <v>33</v>
      </c>
      <c r="B18" s="150" t="s">
        <v>221</v>
      </c>
      <c r="C18" s="137"/>
      <c r="D18" s="106">
        <v>0</v>
      </c>
      <c r="E18" s="8">
        <v>255850</v>
      </c>
      <c r="F18" s="8">
        <v>253500</v>
      </c>
      <c r="G18" s="8">
        <v>353600</v>
      </c>
      <c r="H18" s="8">
        <v>358150</v>
      </c>
      <c r="I18" s="8">
        <v>295000</v>
      </c>
      <c r="J18" s="8">
        <v>391750</v>
      </c>
      <c r="K18" s="8">
        <v>349200</v>
      </c>
      <c r="L18" s="8">
        <v>427000</v>
      </c>
      <c r="M18" s="8">
        <v>334600</v>
      </c>
      <c r="N18" s="8">
        <v>378000</v>
      </c>
      <c r="O18" s="8">
        <v>0</v>
      </c>
      <c r="P18" s="8" t="s">
        <v>9</v>
      </c>
      <c r="Q18" s="8">
        <v>432700</v>
      </c>
      <c r="R18" s="8"/>
      <c r="S18" s="8">
        <v>257000</v>
      </c>
      <c r="T18" s="8">
        <v>313500</v>
      </c>
      <c r="U18" s="154">
        <v>409500</v>
      </c>
      <c r="V18" s="141"/>
      <c r="W18" s="121">
        <v>384100</v>
      </c>
      <c r="X18" s="8">
        <v>363400</v>
      </c>
      <c r="Y18" s="8">
        <v>378000</v>
      </c>
      <c r="Z18" s="8">
        <v>413000</v>
      </c>
      <c r="AA18" s="10">
        <v>484000</v>
      </c>
      <c r="AB18" s="10">
        <v>339050</v>
      </c>
      <c r="AC18" s="10">
        <v>447000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11">
        <f t="shared" si="0"/>
        <v>7617900</v>
      </c>
      <c r="BE18" s="1"/>
      <c r="BF18" s="1"/>
      <c r="BG18" s="1"/>
      <c r="BH18" s="1"/>
      <c r="BI18" s="1"/>
      <c r="BJ18" s="1"/>
      <c r="BK18" s="1"/>
    </row>
    <row r="19" spans="1:63" s="89" customFormat="1" ht="15.75" customHeight="1">
      <c r="A19" s="4" t="s">
        <v>35</v>
      </c>
      <c r="B19" s="149" t="s">
        <v>222</v>
      </c>
      <c r="C19" s="137">
        <v>0</v>
      </c>
      <c r="D19" s="106">
        <v>122400</v>
      </c>
      <c r="E19" s="87">
        <v>0</v>
      </c>
      <c r="F19" s="87">
        <v>0</v>
      </c>
      <c r="G19" s="87">
        <v>0</v>
      </c>
      <c r="H19" s="8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 t="s">
        <v>9</v>
      </c>
      <c r="O19" s="87" t="s">
        <v>9</v>
      </c>
      <c r="P19" s="87">
        <v>0</v>
      </c>
      <c r="Q19" s="87">
        <v>0</v>
      </c>
      <c r="R19" s="87"/>
      <c r="S19" s="87" t="s">
        <v>9</v>
      </c>
      <c r="T19" s="87">
        <v>0</v>
      </c>
      <c r="U19" s="155">
        <v>0</v>
      </c>
      <c r="V19" s="143">
        <v>295000</v>
      </c>
      <c r="W19" s="143">
        <v>0</v>
      </c>
      <c r="X19" s="87">
        <v>0</v>
      </c>
      <c r="Y19" s="87">
        <v>0</v>
      </c>
      <c r="Z19" s="87">
        <v>0</v>
      </c>
      <c r="AA19" s="92">
        <v>0</v>
      </c>
      <c r="AB19" s="92">
        <v>0</v>
      </c>
      <c r="AC19" s="92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11">
        <f t="shared" si="0"/>
        <v>417400</v>
      </c>
      <c r="BE19" s="94"/>
      <c r="BF19" s="94"/>
      <c r="BG19" s="94"/>
      <c r="BH19" s="94"/>
      <c r="BI19" s="94"/>
      <c r="BJ19" s="94"/>
      <c r="BK19" s="94"/>
    </row>
    <row r="20" spans="1:63" s="80" customFormat="1">
      <c r="A20" s="4" t="s">
        <v>37</v>
      </c>
      <c r="B20" s="147" t="s">
        <v>223</v>
      </c>
      <c r="C20" s="138">
        <v>0</v>
      </c>
      <c r="D20" s="112">
        <v>77850</v>
      </c>
      <c r="E20" s="93">
        <v>250900</v>
      </c>
      <c r="F20" s="93">
        <v>109300</v>
      </c>
      <c r="G20" s="93">
        <v>260000</v>
      </c>
      <c r="H20" s="8">
        <v>266000</v>
      </c>
      <c r="I20" s="93">
        <v>277850</v>
      </c>
      <c r="J20" s="93">
        <v>259050</v>
      </c>
      <c r="K20" s="93">
        <v>326350</v>
      </c>
      <c r="L20" s="93">
        <v>235850</v>
      </c>
      <c r="M20" s="93">
        <v>298750</v>
      </c>
      <c r="N20" s="93">
        <v>261450</v>
      </c>
      <c r="O20" s="93" t="s">
        <v>9</v>
      </c>
      <c r="P20" s="93">
        <v>0</v>
      </c>
      <c r="Q20" s="93">
        <v>286900</v>
      </c>
      <c r="R20" s="93"/>
      <c r="S20" s="93">
        <v>247150</v>
      </c>
      <c r="T20" s="93">
        <v>298000</v>
      </c>
      <c r="U20" s="156">
        <v>281100</v>
      </c>
      <c r="V20" s="144">
        <v>629750</v>
      </c>
      <c r="W20" s="93">
        <v>252150</v>
      </c>
      <c r="X20" s="101">
        <v>287500</v>
      </c>
      <c r="Y20" s="101">
        <v>289200</v>
      </c>
      <c r="Z20" s="101">
        <v>245500</v>
      </c>
      <c r="AA20" s="102">
        <v>288250</v>
      </c>
      <c r="AB20" s="102">
        <v>248250</v>
      </c>
      <c r="AC20" s="102">
        <v>229650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11">
        <f t="shared" si="0"/>
        <v>6206750</v>
      </c>
      <c r="BE20" s="78"/>
      <c r="BF20" s="78"/>
      <c r="BG20" s="78"/>
      <c r="BH20" s="78"/>
      <c r="BI20" s="78"/>
      <c r="BJ20" s="78"/>
      <c r="BK20" s="78"/>
    </row>
    <row r="21" spans="1:63">
      <c r="A21" s="4" t="s">
        <v>38</v>
      </c>
      <c r="B21" s="149" t="s">
        <v>224</v>
      </c>
      <c r="C21" s="137">
        <v>0</v>
      </c>
      <c r="D21" s="107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/>
      <c r="O21" s="8">
        <v>0</v>
      </c>
      <c r="P21" s="8" t="s">
        <v>9</v>
      </c>
      <c r="Q21" s="8">
        <v>0</v>
      </c>
      <c r="R21" s="8"/>
      <c r="S21" s="8"/>
      <c r="T21" s="8">
        <v>0</v>
      </c>
      <c r="U21" s="154"/>
      <c r="V21" s="141" t="s">
        <v>9</v>
      </c>
      <c r="W21" s="8"/>
      <c r="X21" s="10" t="s">
        <v>9</v>
      </c>
      <c r="Y21" s="8"/>
      <c r="Z21" s="8"/>
      <c r="AA21" s="10"/>
      <c r="AB21" s="10"/>
      <c r="AC21" s="10"/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11">
        <f t="shared" si="0"/>
        <v>0</v>
      </c>
      <c r="BE21" s="1"/>
      <c r="BF21" s="1"/>
      <c r="BG21" s="1"/>
      <c r="BH21" s="1"/>
      <c r="BI21" s="1"/>
      <c r="BJ21" s="1"/>
      <c r="BK21" s="1"/>
    </row>
    <row r="22" spans="1:63">
      <c r="A22" s="4" t="s">
        <v>40</v>
      </c>
      <c r="B22" s="150" t="s">
        <v>225</v>
      </c>
      <c r="C22" s="138">
        <v>0</v>
      </c>
      <c r="D22" s="107">
        <v>0</v>
      </c>
      <c r="E22" s="8">
        <v>0</v>
      </c>
      <c r="F22" s="8">
        <v>27200</v>
      </c>
      <c r="G22" s="8">
        <v>0</v>
      </c>
      <c r="H22" s="8">
        <v>0</v>
      </c>
      <c r="I22" s="8">
        <v>8600</v>
      </c>
      <c r="J22" s="8">
        <v>0</v>
      </c>
      <c r="K22" s="8"/>
      <c r="L22" s="8">
        <v>0</v>
      </c>
      <c r="M22" s="8">
        <v>0</v>
      </c>
      <c r="N22" s="8"/>
      <c r="O22" s="8"/>
      <c r="P22" s="8"/>
      <c r="Q22" s="8">
        <v>0</v>
      </c>
      <c r="R22" s="8"/>
      <c r="S22" s="8"/>
      <c r="T22" s="8">
        <v>0</v>
      </c>
      <c r="U22" s="154"/>
      <c r="V22" s="141"/>
      <c r="W22" s="8"/>
      <c r="X22" s="8"/>
      <c r="Y22" s="8"/>
      <c r="Z22" s="8"/>
      <c r="AA22" s="10"/>
      <c r="AB22" s="10"/>
      <c r="AC22" s="10"/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11">
        <f t="shared" si="0"/>
        <v>35800</v>
      </c>
      <c r="BE22" s="1"/>
      <c r="BF22" s="1"/>
      <c r="BG22" s="1"/>
      <c r="BH22" s="1"/>
      <c r="BI22" s="1"/>
      <c r="BJ22" s="1"/>
      <c r="BK22" s="1"/>
    </row>
    <row r="23" spans="1:63">
      <c r="A23" s="4" t="s">
        <v>42</v>
      </c>
      <c r="B23" s="149" t="s">
        <v>226</v>
      </c>
      <c r="C23" s="139">
        <v>0</v>
      </c>
      <c r="D23" s="107">
        <v>9000</v>
      </c>
      <c r="E23" s="8">
        <v>26000</v>
      </c>
      <c r="F23" s="8">
        <v>32800</v>
      </c>
      <c r="G23" s="8">
        <v>16500</v>
      </c>
      <c r="H23" s="87">
        <v>21000</v>
      </c>
      <c r="I23" s="8">
        <v>41000</v>
      </c>
      <c r="J23" s="8">
        <v>78500</v>
      </c>
      <c r="K23" s="8">
        <v>60500</v>
      </c>
      <c r="L23" s="8">
        <v>34100</v>
      </c>
      <c r="M23" s="8">
        <v>22500</v>
      </c>
      <c r="N23" s="4">
        <v>31100</v>
      </c>
      <c r="O23" s="4" t="s">
        <v>9</v>
      </c>
      <c r="P23" s="8"/>
      <c r="Q23" s="8">
        <v>20600</v>
      </c>
      <c r="R23" s="8"/>
      <c r="S23" s="8">
        <v>39700</v>
      </c>
      <c r="T23" s="8">
        <v>27000</v>
      </c>
      <c r="U23" s="154">
        <v>29200</v>
      </c>
      <c r="V23" s="141"/>
      <c r="W23" s="8">
        <v>21500</v>
      </c>
      <c r="X23" s="8">
        <v>30800</v>
      </c>
      <c r="Y23" s="8">
        <v>49500</v>
      </c>
      <c r="Z23" s="8">
        <v>36500</v>
      </c>
      <c r="AA23" s="10">
        <v>28450</v>
      </c>
      <c r="AB23" s="10">
        <v>34000</v>
      </c>
      <c r="AC23" s="10">
        <v>35100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11">
        <f t="shared" si="0"/>
        <v>725350</v>
      </c>
      <c r="BE23" s="1"/>
      <c r="BF23" s="1"/>
      <c r="BG23" s="1"/>
      <c r="BH23" s="1"/>
      <c r="BI23" s="1"/>
      <c r="BJ23" s="1"/>
      <c r="BK23" s="1"/>
    </row>
    <row r="24" spans="1:63" ht="40.5">
      <c r="A24" s="4" t="s">
        <v>44</v>
      </c>
      <c r="B24" s="151" t="s">
        <v>227</v>
      </c>
      <c r="C24" s="139"/>
      <c r="D24" s="107"/>
      <c r="E24" s="8"/>
      <c r="F24" s="8"/>
      <c r="G24" s="8"/>
      <c r="H24" s="93" t="s">
        <v>9</v>
      </c>
      <c r="I24" s="8"/>
      <c r="J24" s="8"/>
      <c r="K24" s="8"/>
      <c r="L24" s="8"/>
      <c r="M24" s="8">
        <v>112650</v>
      </c>
      <c r="N24" s="4">
        <v>153000</v>
      </c>
      <c r="O24" s="8" t="s">
        <v>9</v>
      </c>
      <c r="P24" s="8">
        <v>0</v>
      </c>
      <c r="Q24" s="8">
        <v>0</v>
      </c>
      <c r="R24" s="8"/>
      <c r="S24" s="8">
        <v>154200</v>
      </c>
      <c r="T24" s="8"/>
      <c r="U24" s="154">
        <v>20000</v>
      </c>
      <c r="V24" s="141"/>
      <c r="W24" s="8"/>
      <c r="X24" s="8"/>
      <c r="Y24" s="8"/>
      <c r="Z24" s="8"/>
      <c r="AA24" s="10"/>
      <c r="AB24" s="10"/>
      <c r="AC24" s="10">
        <v>156250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11">
        <f t="shared" si="0"/>
        <v>596100</v>
      </c>
      <c r="BE24" s="1"/>
      <c r="BF24" s="1"/>
      <c r="BG24" s="1"/>
      <c r="BH24" s="1"/>
      <c r="BI24" s="1"/>
      <c r="BJ24" s="1"/>
      <c r="BK24" s="1"/>
    </row>
    <row r="25" spans="1:63" ht="27">
      <c r="A25" s="4" t="s">
        <v>46</v>
      </c>
      <c r="B25" s="151" t="s">
        <v>228</v>
      </c>
      <c r="C25" s="139" t="s">
        <v>9</v>
      </c>
      <c r="D25" s="107"/>
      <c r="E25" s="8"/>
      <c r="F25" s="8"/>
      <c r="G25" s="8"/>
      <c r="H25" s="8"/>
      <c r="I25" s="8"/>
      <c r="J25" s="8"/>
      <c r="K25" s="8"/>
      <c r="L25" s="8"/>
      <c r="M25" s="8"/>
      <c r="N25" s="4"/>
      <c r="O25" s="4"/>
      <c r="P25" s="8"/>
      <c r="Q25" s="8"/>
      <c r="R25" s="8"/>
      <c r="S25" s="8"/>
      <c r="T25" s="8"/>
      <c r="U25" s="154"/>
      <c r="V25" s="141"/>
      <c r="W25" s="8"/>
      <c r="X25" s="8"/>
      <c r="Y25" s="8"/>
      <c r="Z25" s="8"/>
      <c r="AA25" s="10"/>
      <c r="AB25" s="10"/>
      <c r="AC25" s="10"/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11">
        <f t="shared" si="0"/>
        <v>0</v>
      </c>
      <c r="BE25" s="1"/>
      <c r="BF25" s="1"/>
      <c r="BG25" s="1"/>
      <c r="BH25" s="1"/>
      <c r="BI25" s="1"/>
      <c r="BJ25" s="1"/>
      <c r="BK25" s="1"/>
    </row>
    <row r="26" spans="1:63" s="89" customFormat="1">
      <c r="A26" s="4" t="s">
        <v>48</v>
      </c>
      <c r="B26" s="150" t="s">
        <v>229</v>
      </c>
      <c r="C26" s="139" t="s">
        <v>9</v>
      </c>
      <c r="D26" s="107">
        <v>0</v>
      </c>
      <c r="E26" s="87" t="s">
        <v>9</v>
      </c>
      <c r="F26" s="87" t="s">
        <v>9</v>
      </c>
      <c r="G26" s="87"/>
      <c r="H26" s="87"/>
      <c r="I26" s="87">
        <v>0</v>
      </c>
      <c r="J26" s="87"/>
      <c r="K26" s="93" t="s">
        <v>9</v>
      </c>
      <c r="L26" s="87">
        <v>0</v>
      </c>
      <c r="M26" s="87"/>
      <c r="N26" s="91" t="s">
        <v>9</v>
      </c>
      <c r="O26" s="87"/>
      <c r="P26" s="87"/>
      <c r="Q26" s="87"/>
      <c r="R26" s="87"/>
      <c r="S26" s="87" t="s">
        <v>9</v>
      </c>
      <c r="T26" s="87" t="s">
        <v>9</v>
      </c>
      <c r="U26" s="155" t="s">
        <v>9</v>
      </c>
      <c r="V26" s="143" t="s">
        <v>9</v>
      </c>
      <c r="W26" s="87"/>
      <c r="X26" s="92" t="s">
        <v>9</v>
      </c>
      <c r="Y26" s="92" t="s">
        <v>9</v>
      </c>
      <c r="Z26" s="87"/>
      <c r="AA26" s="92"/>
      <c r="AB26" s="92" t="s">
        <v>9</v>
      </c>
      <c r="AC26" s="92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11">
        <f t="shared" si="0"/>
        <v>0</v>
      </c>
      <c r="BE26" s="94"/>
      <c r="BF26" s="94"/>
      <c r="BG26" s="94"/>
      <c r="BH26" s="94"/>
      <c r="BI26" s="94"/>
      <c r="BJ26" s="94"/>
      <c r="BK26" s="94"/>
    </row>
    <row r="27" spans="1:63" ht="14.65" thickBot="1">
      <c r="A27" s="12"/>
      <c r="B27" s="13" t="s">
        <v>63</v>
      </c>
      <c r="C27" s="140">
        <f t="shared" ref="C27:Q27" si="1">SUM(C6:C26)</f>
        <v>1112000</v>
      </c>
      <c r="D27" s="87">
        <f t="shared" si="1"/>
        <v>880700</v>
      </c>
      <c r="E27" s="87">
        <f t="shared" si="1"/>
        <v>1632050</v>
      </c>
      <c r="F27" s="105">
        <f t="shared" si="1"/>
        <v>1484250</v>
      </c>
      <c r="G27" s="87">
        <f t="shared" si="1"/>
        <v>3424550</v>
      </c>
      <c r="H27" s="87">
        <f t="shared" si="1"/>
        <v>3218350</v>
      </c>
      <c r="I27" s="87">
        <f t="shared" si="1"/>
        <v>1568900</v>
      </c>
      <c r="J27" s="87">
        <f t="shared" si="1"/>
        <v>1975550</v>
      </c>
      <c r="K27" s="108">
        <f t="shared" si="1"/>
        <v>1884150</v>
      </c>
      <c r="L27" s="87">
        <f t="shared" si="1"/>
        <v>4410600</v>
      </c>
      <c r="M27" s="87">
        <f t="shared" si="1"/>
        <v>2736850</v>
      </c>
      <c r="N27" s="87">
        <f t="shared" si="1"/>
        <v>1659200</v>
      </c>
      <c r="O27" s="87">
        <f t="shared" si="1"/>
        <v>55600</v>
      </c>
      <c r="P27" s="87">
        <f t="shared" si="1"/>
        <v>138050</v>
      </c>
      <c r="Q27" s="87">
        <f t="shared" si="1"/>
        <v>5102100</v>
      </c>
      <c r="R27" s="87">
        <f>SUM(R7:R26)</f>
        <v>243350</v>
      </c>
      <c r="S27" s="87">
        <f t="shared" ref="S27:BC27" si="2">SUM(S6:S26)</f>
        <v>2825400</v>
      </c>
      <c r="T27" s="87">
        <f t="shared" si="2"/>
        <v>1631950</v>
      </c>
      <c r="U27" s="155">
        <f t="shared" si="2"/>
        <v>1647950</v>
      </c>
      <c r="V27" s="143">
        <f t="shared" si="2"/>
        <v>2185700</v>
      </c>
      <c r="W27" s="110">
        <f t="shared" si="2"/>
        <v>2819400</v>
      </c>
      <c r="X27" s="87">
        <f t="shared" si="2"/>
        <v>1616150</v>
      </c>
      <c r="Y27" s="87">
        <f t="shared" si="2"/>
        <v>1622250</v>
      </c>
      <c r="Z27" s="92">
        <f t="shared" si="2"/>
        <v>4110400</v>
      </c>
      <c r="AA27" s="92">
        <f t="shared" si="2"/>
        <v>2673750</v>
      </c>
      <c r="AB27" s="92">
        <f t="shared" si="2"/>
        <v>1612050</v>
      </c>
      <c r="AC27" s="92">
        <f t="shared" si="2"/>
        <v>1868000</v>
      </c>
      <c r="AD27" s="87">
        <f t="shared" ref="AD27:AM27" si="3">SUM(AD6:AD26)</f>
        <v>0</v>
      </c>
      <c r="AE27" s="87">
        <f t="shared" si="3"/>
        <v>0</v>
      </c>
      <c r="AF27" s="87">
        <f t="shared" si="3"/>
        <v>0</v>
      </c>
      <c r="AG27" s="87">
        <f t="shared" si="3"/>
        <v>0</v>
      </c>
      <c r="AH27" s="87">
        <f t="shared" si="3"/>
        <v>0</v>
      </c>
      <c r="AI27" s="87">
        <f t="shared" si="3"/>
        <v>0</v>
      </c>
      <c r="AJ27" s="87">
        <f t="shared" si="3"/>
        <v>0</v>
      </c>
      <c r="AK27" s="87">
        <f t="shared" si="3"/>
        <v>0</v>
      </c>
      <c r="AL27" s="87">
        <f t="shared" si="3"/>
        <v>0</v>
      </c>
      <c r="AM27" s="87">
        <f t="shared" si="3"/>
        <v>0</v>
      </c>
      <c r="AN27" s="87">
        <f t="shared" si="2"/>
        <v>0</v>
      </c>
      <c r="AO27" s="87">
        <f t="shared" si="2"/>
        <v>0</v>
      </c>
      <c r="AP27" s="87">
        <f t="shared" si="2"/>
        <v>0</v>
      </c>
      <c r="AQ27" s="87">
        <f t="shared" si="2"/>
        <v>0</v>
      </c>
      <c r="AR27" s="87">
        <f t="shared" si="2"/>
        <v>0</v>
      </c>
      <c r="AS27" s="87">
        <f t="shared" si="2"/>
        <v>0</v>
      </c>
      <c r="AT27" s="87">
        <f t="shared" si="2"/>
        <v>0</v>
      </c>
      <c r="AU27" s="87">
        <f t="shared" si="2"/>
        <v>0</v>
      </c>
      <c r="AV27" s="87">
        <f t="shared" si="2"/>
        <v>0</v>
      </c>
      <c r="AW27" s="87">
        <f t="shared" si="2"/>
        <v>0</v>
      </c>
      <c r="AX27" s="87">
        <f t="shared" si="2"/>
        <v>0</v>
      </c>
      <c r="AY27" s="87">
        <f t="shared" si="2"/>
        <v>0</v>
      </c>
      <c r="AZ27" s="105">
        <f t="shared" si="2"/>
        <v>0</v>
      </c>
      <c r="BA27" s="87">
        <f t="shared" si="2"/>
        <v>0</v>
      </c>
      <c r="BB27" s="11">
        <f t="shared" si="2"/>
        <v>0</v>
      </c>
      <c r="BC27" s="11">
        <f t="shared" si="2"/>
        <v>0</v>
      </c>
      <c r="BD27" s="11">
        <f>SUM(C27:BC27)</f>
        <v>56139250</v>
      </c>
      <c r="BE27" s="1"/>
      <c r="BF27" s="1"/>
      <c r="BG27" s="1"/>
      <c r="BH27" s="1"/>
      <c r="BI27" s="1"/>
      <c r="BJ27" s="1"/>
      <c r="BK27" s="1"/>
    </row>
    <row r="28" spans="1:63">
      <c r="C28" s="88"/>
      <c r="E28" s="35"/>
      <c r="K28" s="15"/>
      <c r="O28" t="s">
        <v>9</v>
      </c>
      <c r="T28" t="s">
        <v>9</v>
      </c>
      <c r="V28" s="80"/>
      <c r="W28" s="120"/>
      <c r="AA28" s="2" t="s">
        <v>9</v>
      </c>
      <c r="AE28" s="103" t="s">
        <v>9</v>
      </c>
      <c r="AJ28" s="145" t="s">
        <v>9</v>
      </c>
      <c r="AT28" s="1"/>
      <c r="AU28" s="1"/>
      <c r="AV28" s="1"/>
      <c r="AW28" s="1"/>
      <c r="AX28" s="1"/>
      <c r="AY28" s="1"/>
      <c r="AZ28" s="14"/>
      <c r="BA28" s="1"/>
      <c r="BB28" s="1"/>
      <c r="BC28" s="78"/>
      <c r="BD28" s="78"/>
      <c r="BE28" s="78"/>
      <c r="BF28" s="78"/>
      <c r="BG28" s="78"/>
      <c r="BH28" s="1"/>
      <c r="BI28" s="1"/>
      <c r="BJ28" s="1"/>
      <c r="BK28" s="1"/>
    </row>
    <row r="29" spans="1:63">
      <c r="E29" s="100"/>
      <c r="O29" s="15" t="s">
        <v>9</v>
      </c>
      <c r="T29" s="15" t="s">
        <v>9</v>
      </c>
      <c r="V29" s="122"/>
      <c r="W29" s="109"/>
      <c r="AA29" s="157" t="s">
        <v>9</v>
      </c>
      <c r="AJ29" s="146" t="s">
        <v>9</v>
      </c>
      <c r="AT29" s="1"/>
      <c r="AU29" s="1"/>
      <c r="AV29" s="1"/>
      <c r="AW29" s="1"/>
      <c r="AX29" s="1"/>
      <c r="AY29" s="104"/>
      <c r="AZ29" s="111"/>
      <c r="BA29" s="1"/>
      <c r="BB29" s="1"/>
      <c r="BC29" s="78"/>
      <c r="BD29" s="78"/>
      <c r="BE29" s="78"/>
      <c r="BF29" s="78"/>
      <c r="BG29" s="78"/>
      <c r="BH29" s="1"/>
      <c r="BI29" s="1"/>
      <c r="BJ29" s="1"/>
      <c r="BK29" s="1"/>
    </row>
    <row r="30" spans="1:63">
      <c r="I30" s="15"/>
      <c r="M30" s="15"/>
      <c r="V30" s="122"/>
      <c r="W30" s="80"/>
      <c r="AT30" s="1"/>
      <c r="AU30" s="1"/>
      <c r="AV30" s="1"/>
      <c r="AW30" s="1"/>
      <c r="AX30" s="1"/>
      <c r="AY30" s="1"/>
      <c r="AZ30" s="14"/>
      <c r="BA30" s="1"/>
      <c r="BB30" s="1"/>
      <c r="BC30" s="78"/>
      <c r="BD30" s="78"/>
      <c r="BE30" s="78"/>
      <c r="BF30" s="78"/>
      <c r="BG30" s="78"/>
      <c r="BH30" s="1"/>
      <c r="BI30" s="1"/>
      <c r="BJ30" s="1"/>
      <c r="BK30" s="1"/>
    </row>
    <row r="31" spans="1:63">
      <c r="A31" s="98"/>
      <c r="B31" s="99"/>
      <c r="E31" t="s">
        <v>16</v>
      </c>
      <c r="V31" s="100"/>
      <c r="AT31" s="1"/>
      <c r="AU31" s="1"/>
      <c r="AV31" s="1"/>
      <c r="AW31" s="1"/>
      <c r="AX31" s="1"/>
      <c r="AY31" s="1"/>
      <c r="AZ31" s="14"/>
      <c r="BA31" s="1"/>
      <c r="BB31" s="1"/>
      <c r="BC31" s="78"/>
      <c r="BD31" s="78"/>
      <c r="BE31" s="78"/>
      <c r="BF31" s="78"/>
      <c r="BG31" s="78"/>
      <c r="BH31" s="1"/>
      <c r="BI31" s="1"/>
      <c r="BJ31" s="1"/>
      <c r="BK31" s="1"/>
    </row>
    <row r="32" spans="1:63">
      <c r="W32" s="109"/>
      <c r="BC32" s="80"/>
      <c r="BD32" s="109"/>
      <c r="BE32" s="80"/>
      <c r="BF32" s="109"/>
      <c r="BG32" s="80"/>
    </row>
    <row r="33" spans="23:59">
      <c r="W33" s="15"/>
      <c r="BC33" s="80"/>
      <c r="BD33" s="80"/>
      <c r="BE33" s="80"/>
      <c r="BF33" s="109"/>
      <c r="BG33" s="80"/>
    </row>
    <row r="34" spans="23:59">
      <c r="BC34" s="80"/>
      <c r="BD34" s="80"/>
      <c r="BE34" s="80"/>
      <c r="BF34" s="120"/>
      <c r="BG34" s="80"/>
    </row>
    <row r="35" spans="23:59">
      <c r="BC35" s="80"/>
      <c r="BD35" s="80"/>
      <c r="BE35" s="80"/>
      <c r="BF35" s="109"/>
      <c r="BG35" s="80"/>
    </row>
    <row r="36" spans="23:59">
      <c r="BC36" s="80"/>
      <c r="BD36" s="80"/>
      <c r="BE36" s="80"/>
      <c r="BF36" s="109"/>
      <c r="BG36" s="80"/>
    </row>
  </sheetData>
  <mergeCells count="4">
    <mergeCell ref="A1:N1"/>
    <mergeCell ref="A2:N2"/>
    <mergeCell ref="A3:N3"/>
    <mergeCell ref="A4:N4"/>
  </mergeCells>
  <pageMargins left="0.69930555555555496" right="0.69930555555555496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tabSelected="1" zoomScaleNormal="100" workbookViewId="0">
      <selection activeCell="G45" sqref="G45"/>
    </sheetView>
  </sheetViews>
  <sheetFormatPr defaultRowHeight="14.25"/>
  <cols>
    <col min="1" max="1" width="9" customWidth="1"/>
    <col min="2" max="2" width="37.1328125" customWidth="1"/>
    <col min="3" max="3" width="12.59765625" customWidth="1"/>
    <col min="4" max="4" width="26.59765625" customWidth="1"/>
    <col min="5" max="5" width="12.73046875" customWidth="1"/>
    <col min="6" max="6" width="9" customWidth="1"/>
    <col min="7" max="7" width="11.59765625" customWidth="1"/>
    <col min="8" max="8" width="26.73046875" customWidth="1"/>
    <col min="9" max="9" width="14.1328125" customWidth="1"/>
    <col min="10" max="10" width="12.73046875" customWidth="1"/>
    <col min="11" max="11" width="12" customWidth="1"/>
    <col min="12" max="12" width="8.86328125" customWidth="1"/>
    <col min="13" max="1025" width="9" customWidth="1"/>
  </cols>
  <sheetData>
    <row r="1" spans="1:12" ht="46.35" customHeight="1">
      <c r="A1" s="158" t="s">
        <v>0</v>
      </c>
      <c r="B1" s="158"/>
      <c r="G1" s="162" t="s">
        <v>64</v>
      </c>
      <c r="H1" s="163" t="s">
        <v>65</v>
      </c>
      <c r="I1" s="160">
        <v>2022</v>
      </c>
      <c r="J1" s="160">
        <v>2021</v>
      </c>
      <c r="K1" s="16" t="s">
        <v>66</v>
      </c>
      <c r="L1" s="160" t="s">
        <v>67</v>
      </c>
    </row>
    <row r="2" spans="1:12">
      <c r="A2" s="158" t="s">
        <v>1</v>
      </c>
      <c r="B2" s="158"/>
      <c r="G2" s="162"/>
      <c r="H2" s="163"/>
      <c r="I2" s="160"/>
      <c r="J2" s="160"/>
      <c r="K2" s="17"/>
      <c r="L2" s="160"/>
    </row>
    <row r="3" spans="1:12" ht="14.65">
      <c r="A3" s="158" t="s">
        <v>2</v>
      </c>
      <c r="B3" s="158"/>
      <c r="G3" s="162"/>
      <c r="H3" s="163"/>
      <c r="I3" s="160"/>
      <c r="J3" s="160"/>
      <c r="K3" s="18" t="s">
        <v>68</v>
      </c>
      <c r="L3" s="160"/>
    </row>
    <row r="4" spans="1:12" ht="15" thickBot="1">
      <c r="A4" s="161" t="s">
        <v>214</v>
      </c>
      <c r="B4" s="161"/>
      <c r="G4" s="19"/>
      <c r="H4" s="20"/>
      <c r="I4" s="21" t="s">
        <v>69</v>
      </c>
      <c r="J4" s="21" t="s">
        <v>69</v>
      </c>
      <c r="K4" s="21" t="s">
        <v>69</v>
      </c>
      <c r="L4" s="21"/>
    </row>
    <row r="5" spans="1:12" ht="14.65" thickBot="1">
      <c r="A5" s="4" t="s">
        <v>4</v>
      </c>
      <c r="B5" s="5" t="s">
        <v>5</v>
      </c>
      <c r="C5" s="6" t="s">
        <v>6</v>
      </c>
      <c r="G5" s="4" t="s">
        <v>7</v>
      </c>
      <c r="H5" s="147" t="s">
        <v>41</v>
      </c>
      <c r="I5" s="23">
        <f t="shared" ref="I5:I10" si="0">C6</f>
        <v>858000</v>
      </c>
      <c r="J5" s="23">
        <v>13136620</v>
      </c>
      <c r="K5" s="24">
        <f t="shared" ref="K5:K25" si="1">I5-J5</f>
        <v>-12278620</v>
      </c>
      <c r="L5" s="25">
        <f t="shared" ref="L5:L25" si="2">K5/J5</f>
        <v>-0.93468639573954337</v>
      </c>
    </row>
    <row r="6" spans="1:12" ht="14.65" thickBot="1">
      <c r="A6" s="4" t="s">
        <v>7</v>
      </c>
      <c r="B6" s="26" t="s">
        <v>8</v>
      </c>
      <c r="C6" s="8">
        <f>'Mapato 2023'!BD6</f>
        <v>858000</v>
      </c>
      <c r="D6" s="1"/>
      <c r="E6" s="1"/>
      <c r="F6" s="1"/>
      <c r="G6" s="4" t="s">
        <v>10</v>
      </c>
      <c r="H6" s="148" t="s">
        <v>216</v>
      </c>
      <c r="I6" s="24">
        <f t="shared" si="0"/>
        <v>6862600</v>
      </c>
      <c r="J6" s="24">
        <v>12817580</v>
      </c>
      <c r="K6" s="24">
        <f t="shared" si="1"/>
        <v>-5954980</v>
      </c>
      <c r="L6" s="25">
        <f t="shared" si="2"/>
        <v>-0.46459472068830465</v>
      </c>
    </row>
    <row r="7" spans="1:12" ht="14.65" thickBot="1">
      <c r="A7" s="4" t="s">
        <v>10</v>
      </c>
      <c r="B7" s="83" t="s">
        <v>11</v>
      </c>
      <c r="C7" s="8">
        <f>'Mapato 2023'!BD7</f>
        <v>6862600</v>
      </c>
      <c r="D7" s="1"/>
      <c r="E7" s="1"/>
      <c r="F7" s="1"/>
      <c r="G7" s="4" t="s">
        <v>12</v>
      </c>
      <c r="H7" s="149" t="s">
        <v>217</v>
      </c>
      <c r="I7" s="24">
        <f t="shared" si="0"/>
        <v>7613850</v>
      </c>
      <c r="J7" s="24">
        <v>2159900</v>
      </c>
      <c r="K7" s="24">
        <f t="shared" si="1"/>
        <v>5453950</v>
      </c>
      <c r="L7" s="25">
        <f t="shared" si="2"/>
        <v>2.5250937543404786</v>
      </c>
    </row>
    <row r="8" spans="1:12" ht="14.65" thickBot="1">
      <c r="A8" s="4" t="s">
        <v>12</v>
      </c>
      <c r="B8" s="27" t="s">
        <v>13</v>
      </c>
      <c r="C8" s="8">
        <f>'Mapato 2023'!BD8</f>
        <v>7613850</v>
      </c>
      <c r="D8" s="1"/>
      <c r="E8" s="1"/>
      <c r="F8" s="1"/>
      <c r="G8" s="4" t="s">
        <v>14</v>
      </c>
      <c r="H8" s="149" t="s">
        <v>13</v>
      </c>
      <c r="I8" s="24">
        <f t="shared" si="0"/>
        <v>1346500</v>
      </c>
      <c r="J8" s="24">
        <v>4041600</v>
      </c>
      <c r="K8" s="24">
        <f t="shared" si="1"/>
        <v>-2695100</v>
      </c>
      <c r="L8" s="25">
        <f t="shared" si="2"/>
        <v>-0.66683986539984164</v>
      </c>
    </row>
    <row r="9" spans="1:12" ht="14.65" thickBot="1">
      <c r="A9" s="4" t="s">
        <v>14</v>
      </c>
      <c r="B9" s="27" t="s">
        <v>15</v>
      </c>
      <c r="C9" s="8">
        <f>'Mapato 2023'!BD9</f>
        <v>1346500</v>
      </c>
      <c r="D9" s="1"/>
      <c r="E9" s="1"/>
      <c r="F9" s="1"/>
      <c r="G9" s="4" t="s">
        <v>17</v>
      </c>
      <c r="H9" s="149" t="s">
        <v>79</v>
      </c>
      <c r="I9" s="24">
        <f t="shared" si="0"/>
        <v>666000</v>
      </c>
      <c r="J9" s="24">
        <v>31563200</v>
      </c>
      <c r="K9" s="24">
        <f t="shared" si="1"/>
        <v>-30897200</v>
      </c>
      <c r="L9" s="25">
        <f t="shared" si="2"/>
        <v>-0.97889947787296594</v>
      </c>
    </row>
    <row r="10" spans="1:12" ht="14.65" thickBot="1">
      <c r="A10" s="4" t="s">
        <v>17</v>
      </c>
      <c r="B10" s="27" t="s">
        <v>18</v>
      </c>
      <c r="C10" s="8">
        <f>'Mapato 2023'!BD10</f>
        <v>666000</v>
      </c>
      <c r="D10" s="1"/>
      <c r="E10" s="1"/>
      <c r="F10" s="1"/>
      <c r="G10" s="4" t="s">
        <v>19</v>
      </c>
      <c r="H10" s="149" t="s">
        <v>231</v>
      </c>
      <c r="I10" s="24">
        <f t="shared" si="0"/>
        <v>1898100</v>
      </c>
      <c r="J10" s="24">
        <v>8122300</v>
      </c>
      <c r="K10" s="24">
        <f t="shared" si="1"/>
        <v>-6224200</v>
      </c>
      <c r="L10" s="25">
        <f t="shared" si="2"/>
        <v>-0.76631003533481901</v>
      </c>
    </row>
    <row r="11" spans="1:12" ht="14.65" thickBot="1">
      <c r="A11" s="4" t="s">
        <v>19</v>
      </c>
      <c r="B11" s="27" t="s">
        <v>20</v>
      </c>
      <c r="C11" s="8">
        <f>'Mapato 2023'!BD11</f>
        <v>1898100</v>
      </c>
      <c r="D11" s="1"/>
      <c r="E11" s="1"/>
      <c r="F11" s="1"/>
      <c r="G11" s="4" t="s">
        <v>21</v>
      </c>
      <c r="H11" s="149" t="s">
        <v>218</v>
      </c>
      <c r="I11" s="24">
        <f>C26</f>
        <v>0</v>
      </c>
      <c r="J11" s="24">
        <v>3995000</v>
      </c>
      <c r="K11" s="24">
        <f t="shared" si="1"/>
        <v>-3995000</v>
      </c>
      <c r="L11" s="25">
        <f t="shared" si="2"/>
        <v>-1</v>
      </c>
    </row>
    <row r="12" spans="1:12" ht="14.65" thickBot="1">
      <c r="A12" s="4" t="s">
        <v>21</v>
      </c>
      <c r="B12" s="27" t="s">
        <v>22</v>
      </c>
      <c r="C12" s="8">
        <f>'Mapato 2023'!BD12</f>
        <v>3842150</v>
      </c>
      <c r="D12" s="1"/>
      <c r="E12" s="1"/>
      <c r="F12" s="1"/>
      <c r="G12" s="4" t="s">
        <v>31</v>
      </c>
      <c r="H12" s="149" t="s">
        <v>22</v>
      </c>
      <c r="I12" s="24">
        <f>C12</f>
        <v>3842150</v>
      </c>
      <c r="J12" s="24">
        <v>338350</v>
      </c>
      <c r="K12" s="24">
        <f t="shared" si="1"/>
        <v>3503800</v>
      </c>
      <c r="L12" s="25">
        <f t="shared" si="2"/>
        <v>10.355548987734595</v>
      </c>
    </row>
    <row r="13" spans="1:12" ht="14.65" thickBot="1">
      <c r="A13" s="4" t="s">
        <v>23</v>
      </c>
      <c r="B13" s="27" t="s">
        <v>24</v>
      </c>
      <c r="C13" s="8">
        <f>'Mapato 2023'!BD14</f>
        <v>66000</v>
      </c>
      <c r="D13" s="1"/>
      <c r="E13" s="1"/>
      <c r="F13" s="1"/>
      <c r="G13" s="4" t="s">
        <v>23</v>
      </c>
      <c r="H13" s="149" t="s">
        <v>219</v>
      </c>
      <c r="I13" s="24">
        <f>C13</f>
        <v>66000</v>
      </c>
      <c r="J13" s="24">
        <v>486800</v>
      </c>
      <c r="K13" s="24">
        <f t="shared" si="1"/>
        <v>-420800</v>
      </c>
      <c r="L13" s="25">
        <f t="shared" si="2"/>
        <v>-0.8644207066557108</v>
      </c>
    </row>
    <row r="14" spans="1:12" ht="14.65" thickBot="1">
      <c r="A14" s="4" t="s">
        <v>25</v>
      </c>
      <c r="B14" s="27" t="s">
        <v>26</v>
      </c>
      <c r="C14" s="8">
        <f>'Mapato 2023'!BD15</f>
        <v>20000</v>
      </c>
      <c r="D14" s="1"/>
      <c r="E14" s="1"/>
      <c r="F14" s="1"/>
      <c r="G14" s="4" t="s">
        <v>25</v>
      </c>
      <c r="H14" s="149" t="s">
        <v>51</v>
      </c>
      <c r="I14" s="24">
        <f>C24</f>
        <v>596100</v>
      </c>
      <c r="J14" s="24">
        <v>0</v>
      </c>
      <c r="K14" s="24">
        <f t="shared" si="1"/>
        <v>596100</v>
      </c>
      <c r="L14" s="25" t="e">
        <f t="shared" si="2"/>
        <v>#DIV/0!</v>
      </c>
    </row>
    <row r="15" spans="1:12" ht="14.65" thickBot="1">
      <c r="A15" s="4" t="s">
        <v>27</v>
      </c>
      <c r="B15" s="27" t="s">
        <v>28</v>
      </c>
      <c r="C15" s="8">
        <f>'Mapato 2023'!BD16</f>
        <v>0</v>
      </c>
      <c r="D15" s="1"/>
      <c r="E15" s="1"/>
      <c r="F15" s="1"/>
      <c r="G15" s="4" t="s">
        <v>27</v>
      </c>
      <c r="H15" s="149" t="s">
        <v>52</v>
      </c>
      <c r="I15" s="24" t="e">
        <f>#REF!</f>
        <v>#REF!</v>
      </c>
      <c r="J15" s="24">
        <v>14525200</v>
      </c>
      <c r="K15" s="24" t="e">
        <f t="shared" si="1"/>
        <v>#REF!</v>
      </c>
      <c r="L15" s="25" t="e">
        <f t="shared" si="2"/>
        <v>#REF!</v>
      </c>
    </row>
    <row r="16" spans="1:12" ht="14.65" thickBot="1">
      <c r="A16" s="4" t="s">
        <v>29</v>
      </c>
      <c r="B16" s="27" t="s">
        <v>30</v>
      </c>
      <c r="C16" s="8">
        <f>'Mapato 2023'!BD17</f>
        <v>17009650</v>
      </c>
      <c r="D16" s="1"/>
      <c r="E16" s="1"/>
      <c r="F16" s="1"/>
      <c r="G16" s="4" t="s">
        <v>29</v>
      </c>
      <c r="H16" s="149" t="s">
        <v>220</v>
      </c>
      <c r="I16" s="85" t="e">
        <f>#REF!</f>
        <v>#REF!</v>
      </c>
      <c r="J16" s="85">
        <v>218100</v>
      </c>
      <c r="K16" s="85" t="e">
        <f t="shared" si="1"/>
        <v>#REF!</v>
      </c>
      <c r="L16" s="86" t="e">
        <f t="shared" si="2"/>
        <v>#REF!</v>
      </c>
    </row>
    <row r="17" spans="1:20" ht="14.65" thickBot="1">
      <c r="A17" s="4" t="s">
        <v>31</v>
      </c>
      <c r="B17" s="27" t="s">
        <v>32</v>
      </c>
      <c r="C17" s="8">
        <f>'Mapato 2023'!BD13</f>
        <v>357100</v>
      </c>
      <c r="D17" s="1"/>
      <c r="E17" s="1"/>
      <c r="F17" s="1"/>
      <c r="G17" s="4" t="s">
        <v>33</v>
      </c>
      <c r="H17" s="150" t="s">
        <v>221</v>
      </c>
      <c r="I17" s="24" t="e">
        <f>#REF!</f>
        <v>#REF!</v>
      </c>
      <c r="J17" s="24">
        <v>139800</v>
      </c>
      <c r="K17" s="24" t="e">
        <f t="shared" si="1"/>
        <v>#REF!</v>
      </c>
      <c r="L17" s="25" t="e">
        <f t="shared" si="2"/>
        <v>#REF!</v>
      </c>
    </row>
    <row r="18" spans="1:20" ht="14.65" thickBot="1">
      <c r="A18" s="4" t="s">
        <v>33</v>
      </c>
      <c r="B18" s="27" t="s">
        <v>34</v>
      </c>
      <c r="C18" s="8">
        <f>'Mapato 2023'!BD18</f>
        <v>7617900</v>
      </c>
      <c r="D18" s="1"/>
      <c r="E18" s="1"/>
      <c r="F18" s="1"/>
      <c r="G18" s="4" t="s">
        <v>35</v>
      </c>
      <c r="H18" s="149" t="s">
        <v>222</v>
      </c>
      <c r="I18" s="24" t="e">
        <f>C15+#REF!</f>
        <v>#REF!</v>
      </c>
      <c r="J18" s="24">
        <v>855050</v>
      </c>
      <c r="K18" s="24" t="e">
        <f t="shared" si="1"/>
        <v>#REF!</v>
      </c>
      <c r="L18" s="25" t="e">
        <f t="shared" si="2"/>
        <v>#REF!</v>
      </c>
    </row>
    <row r="19" spans="1:20" ht="14.65" thickBot="1">
      <c r="A19" s="67" t="s">
        <v>35</v>
      </c>
      <c r="B19" s="68" t="s">
        <v>36</v>
      </c>
      <c r="C19" s="69">
        <f>'Mapato 2023'!BD19</f>
        <v>417400</v>
      </c>
      <c r="D19" s="1"/>
      <c r="E19" s="1"/>
      <c r="F19" s="1"/>
      <c r="G19" s="4" t="s">
        <v>37</v>
      </c>
      <c r="H19" s="147" t="s">
        <v>223</v>
      </c>
      <c r="I19" s="24">
        <f>C16+C17+C18</f>
        <v>24984650</v>
      </c>
      <c r="J19" s="24">
        <v>293000</v>
      </c>
      <c r="K19" s="24">
        <f t="shared" si="1"/>
        <v>24691650</v>
      </c>
      <c r="L19" s="25">
        <f t="shared" si="2"/>
        <v>84.271843003412968</v>
      </c>
    </row>
    <row r="20" spans="1:20" ht="14.65" thickBot="1">
      <c r="A20" s="67" t="s">
        <v>37</v>
      </c>
      <c r="B20" s="70" t="s">
        <v>82</v>
      </c>
      <c r="C20" s="69">
        <f>'Mapato 2023'!BD20</f>
        <v>6206750</v>
      </c>
      <c r="D20" s="1"/>
      <c r="E20" s="1"/>
      <c r="F20" s="1"/>
      <c r="G20" s="4" t="s">
        <v>38</v>
      </c>
      <c r="H20" s="149" t="s">
        <v>224</v>
      </c>
      <c r="I20" s="24" t="e">
        <f>#REF!</f>
        <v>#REF!</v>
      </c>
      <c r="J20" s="24">
        <v>53000</v>
      </c>
      <c r="K20" s="24" t="e">
        <f t="shared" si="1"/>
        <v>#REF!</v>
      </c>
      <c r="L20" s="25" t="e">
        <f t="shared" si="2"/>
        <v>#REF!</v>
      </c>
    </row>
    <row r="21" spans="1:20" ht="14.65" thickBot="1">
      <c r="A21" s="67" t="s">
        <v>38</v>
      </c>
      <c r="B21" s="71" t="s">
        <v>39</v>
      </c>
      <c r="C21" s="69">
        <f>'Mapato 2023'!BD21</f>
        <v>0</v>
      </c>
      <c r="D21" s="1"/>
      <c r="E21" s="1"/>
      <c r="F21" s="1"/>
      <c r="G21" s="4" t="s">
        <v>40</v>
      </c>
      <c r="H21" s="150" t="s">
        <v>225</v>
      </c>
      <c r="I21" s="24" t="e">
        <f>#REF!</f>
        <v>#REF!</v>
      </c>
      <c r="J21" s="24">
        <v>870100</v>
      </c>
      <c r="K21" s="24" t="e">
        <f t="shared" si="1"/>
        <v>#REF!</v>
      </c>
      <c r="L21" s="25" t="e">
        <f t="shared" si="2"/>
        <v>#REF!</v>
      </c>
    </row>
    <row r="22" spans="1:20" ht="14.65" thickBot="1">
      <c r="A22" s="67" t="s">
        <v>40</v>
      </c>
      <c r="B22" s="71" t="s">
        <v>41</v>
      </c>
      <c r="C22" s="69">
        <f>'Mapato 2023'!BD22</f>
        <v>35800</v>
      </c>
      <c r="D22" s="1"/>
      <c r="E22" s="1"/>
      <c r="F22" s="1"/>
      <c r="G22" s="4" t="s">
        <v>42</v>
      </c>
      <c r="H22" s="149" t="s">
        <v>226</v>
      </c>
      <c r="I22" s="24">
        <f>C22</f>
        <v>35800</v>
      </c>
      <c r="J22" s="24">
        <v>597650</v>
      </c>
      <c r="K22" s="24">
        <f t="shared" si="1"/>
        <v>-561850</v>
      </c>
      <c r="L22" s="25">
        <f t="shared" si="2"/>
        <v>-0.94009871998661421</v>
      </c>
    </row>
    <row r="23" spans="1:20" s="28" customFormat="1" ht="54.4" thickBot="1">
      <c r="A23" s="72" t="s">
        <v>42</v>
      </c>
      <c r="B23" s="70" t="s">
        <v>43</v>
      </c>
      <c r="C23" s="69">
        <f>'Mapato 2023'!BD23</f>
        <v>725350</v>
      </c>
      <c r="D23" s="77"/>
      <c r="E23" s="77"/>
      <c r="F23" s="77"/>
      <c r="G23" s="4" t="s">
        <v>44</v>
      </c>
      <c r="H23" s="151" t="s">
        <v>227</v>
      </c>
      <c r="I23" s="24">
        <f>C19</f>
        <v>417400</v>
      </c>
      <c r="J23" s="24">
        <v>12818300</v>
      </c>
      <c r="K23" s="24">
        <f t="shared" si="1"/>
        <v>-12400900</v>
      </c>
      <c r="L23" s="25">
        <f t="shared" si="2"/>
        <v>-0.96743717965720888</v>
      </c>
      <c r="M23" s="82"/>
      <c r="N23" s="82"/>
      <c r="O23" s="82"/>
      <c r="P23" s="82"/>
      <c r="Q23" s="82"/>
      <c r="R23" s="82"/>
      <c r="S23" s="82"/>
      <c r="T23" s="82"/>
    </row>
    <row r="24" spans="1:20" ht="27.4" thickBot="1">
      <c r="A24" s="67" t="s">
        <v>44</v>
      </c>
      <c r="B24" s="70" t="s">
        <v>45</v>
      </c>
      <c r="C24" s="69">
        <f>'Mapato 2023'!BD24</f>
        <v>596100</v>
      </c>
      <c r="D24" s="1"/>
      <c r="E24" s="1"/>
      <c r="F24" s="1"/>
      <c r="G24" s="4" t="s">
        <v>46</v>
      </c>
      <c r="H24" s="151" t="s">
        <v>228</v>
      </c>
      <c r="I24" s="24" t="e">
        <f>#REF!</f>
        <v>#REF!</v>
      </c>
      <c r="J24" s="24">
        <v>3036950</v>
      </c>
      <c r="K24" s="24" t="e">
        <f t="shared" si="1"/>
        <v>#REF!</v>
      </c>
      <c r="L24" s="25" t="e">
        <f t="shared" si="2"/>
        <v>#REF!</v>
      </c>
    </row>
    <row r="25" spans="1:20" ht="15" thickBot="1">
      <c r="A25" s="67" t="s">
        <v>46</v>
      </c>
      <c r="B25" s="73" t="s">
        <v>47</v>
      </c>
      <c r="C25" s="69">
        <f>'Mapato 2023'!BD25</f>
        <v>0</v>
      </c>
      <c r="D25" s="1"/>
      <c r="E25" s="1"/>
      <c r="F25" s="1"/>
      <c r="G25" s="4" t="s">
        <v>48</v>
      </c>
      <c r="H25" s="150" t="s">
        <v>229</v>
      </c>
      <c r="I25" s="29">
        <f>C20</f>
        <v>6206750</v>
      </c>
      <c r="J25" s="29">
        <v>12051100</v>
      </c>
      <c r="K25" s="24">
        <f t="shared" si="1"/>
        <v>-5844350</v>
      </c>
      <c r="L25" s="25">
        <f t="shared" si="2"/>
        <v>-0.48496402818000017</v>
      </c>
    </row>
    <row r="26" spans="1:20" ht="15" thickBot="1">
      <c r="A26" s="67" t="s">
        <v>48</v>
      </c>
      <c r="B26" s="73" t="s">
        <v>49</v>
      </c>
      <c r="C26" s="69">
        <f>'Mapato 2023'!BD26</f>
        <v>0</v>
      </c>
      <c r="D26" s="1"/>
      <c r="E26" s="1"/>
      <c r="G26" s="19" t="s">
        <v>96</v>
      </c>
      <c r="H26" s="19" t="s">
        <v>6</v>
      </c>
      <c r="I26" s="24" t="e">
        <f>SUM(#REF!)</f>
        <v>#REF!</v>
      </c>
      <c r="J26" s="24" t="e">
        <f>SUM(#REF!)</f>
        <v>#REF!</v>
      </c>
      <c r="K26" s="24" t="e">
        <f>SUM(#REF!)</f>
        <v>#REF!</v>
      </c>
      <c r="L26" s="25" t="e">
        <f>K26/J26</f>
        <v>#REF!</v>
      </c>
    </row>
    <row r="27" spans="1:20" ht="15" thickBot="1">
      <c r="A27" s="74"/>
      <c r="B27" s="75" t="s">
        <v>63</v>
      </c>
      <c r="C27" s="76">
        <f>SUM(C6:C26)</f>
        <v>56139250</v>
      </c>
      <c r="D27" s="1"/>
      <c r="E27" s="1"/>
      <c r="F27" s="1"/>
      <c r="G27" s="61"/>
      <c r="H27" s="61"/>
      <c r="I27" s="62"/>
      <c r="J27" s="62"/>
      <c r="K27" s="62"/>
      <c r="L27" s="63"/>
      <c r="M27" s="80"/>
      <c r="N27" s="80"/>
      <c r="O27" s="80"/>
      <c r="P27" s="80"/>
      <c r="Q27" s="80"/>
      <c r="R27" s="80"/>
      <c r="S27" s="80"/>
    </row>
    <row r="28" spans="1:20" ht="14.65">
      <c r="C28" s="1"/>
      <c r="D28" s="1"/>
      <c r="E28" s="1"/>
      <c r="F28" s="1"/>
      <c r="G28" s="61"/>
      <c r="H28" s="61"/>
      <c r="I28" s="62"/>
      <c r="J28" s="62"/>
      <c r="K28" s="62"/>
      <c r="L28" s="63"/>
    </row>
    <row r="29" spans="1:20" ht="17.649999999999999">
      <c r="C29" s="1"/>
      <c r="D29" s="33"/>
      <c r="E29" s="1"/>
      <c r="F29" s="1"/>
      <c r="G29" s="61"/>
      <c r="H29" s="61"/>
      <c r="I29" s="62"/>
      <c r="J29" s="62"/>
      <c r="K29" s="62"/>
      <c r="L29" s="63"/>
    </row>
    <row r="30" spans="1:20" ht="14.65">
      <c r="C30" s="1"/>
      <c r="D30" s="1"/>
      <c r="E30" s="1"/>
      <c r="F30" s="1"/>
      <c r="G30" s="61"/>
      <c r="H30" s="61"/>
      <c r="I30" s="62"/>
      <c r="J30" s="62"/>
      <c r="K30" s="62"/>
      <c r="L30" s="63"/>
    </row>
    <row r="31" spans="1:20" ht="14.65">
      <c r="C31" s="1"/>
      <c r="D31" s="1"/>
      <c r="E31" s="1"/>
      <c r="F31" s="1"/>
      <c r="G31" s="61"/>
      <c r="H31" s="61"/>
      <c r="I31" s="62"/>
      <c r="J31" s="62"/>
      <c r="K31" s="62"/>
      <c r="L31" s="63"/>
    </row>
    <row r="32" spans="1:20">
      <c r="C32" s="1"/>
      <c r="D32" s="34"/>
      <c r="E32" s="1"/>
      <c r="F32" s="1"/>
      <c r="G32" s="1"/>
      <c r="H32" s="1"/>
      <c r="I32" s="1"/>
    </row>
    <row r="33" spans="3:9">
      <c r="C33" s="1"/>
      <c r="D33" s="1"/>
      <c r="E33" s="1"/>
      <c r="F33" s="1"/>
      <c r="G33" s="1"/>
      <c r="H33" s="1"/>
      <c r="I33" s="1"/>
    </row>
    <row r="34" spans="3:9">
      <c r="C34" s="1"/>
      <c r="D34" s="1"/>
      <c r="E34" s="1"/>
      <c r="F34" s="1"/>
      <c r="G34" s="1"/>
      <c r="H34" s="1"/>
      <c r="I34" s="1"/>
    </row>
    <row r="35" spans="3:9">
      <c r="C35" s="1"/>
      <c r="D35" s="1"/>
      <c r="E35" s="1"/>
      <c r="F35" s="1"/>
      <c r="G35" s="1"/>
      <c r="H35" s="1"/>
      <c r="I35" s="1"/>
    </row>
    <row r="36" spans="3:9">
      <c r="C36" s="1"/>
      <c r="D36" s="1"/>
      <c r="E36" s="1"/>
      <c r="F36" s="1"/>
      <c r="G36" s="1"/>
      <c r="H36" s="1"/>
      <c r="I36" s="1"/>
    </row>
    <row r="37" spans="3:9">
      <c r="C37" s="1"/>
      <c r="D37" s="1"/>
      <c r="E37" s="1"/>
      <c r="F37" s="1"/>
      <c r="G37" s="1"/>
      <c r="H37" s="1"/>
      <c r="I37" s="1"/>
    </row>
    <row r="38" spans="3:9">
      <c r="G38" s="1"/>
      <c r="H38" s="1"/>
      <c r="I38" s="1"/>
    </row>
    <row r="39" spans="3:9">
      <c r="G39" s="1"/>
      <c r="H39" s="1"/>
      <c r="I39" s="1"/>
    </row>
    <row r="40" spans="3:9">
      <c r="G40" s="1"/>
      <c r="H40" s="1"/>
      <c r="I40" s="1"/>
    </row>
    <row r="41" spans="3:9">
      <c r="G41" s="1"/>
      <c r="H41" s="1"/>
      <c r="I41" s="1"/>
    </row>
    <row r="42" spans="3:9">
      <c r="G42" s="1"/>
      <c r="H42" s="1"/>
      <c r="I42" s="1"/>
    </row>
    <row r="43" spans="3:9">
      <c r="G43" s="1"/>
      <c r="H43" s="1"/>
      <c r="I43" s="1"/>
    </row>
  </sheetData>
  <mergeCells count="9">
    <mergeCell ref="L1:L3"/>
    <mergeCell ref="A2:B2"/>
    <mergeCell ref="A3:B3"/>
    <mergeCell ref="A4:B4"/>
    <mergeCell ref="A1:B1"/>
    <mergeCell ref="G1:G3"/>
    <mergeCell ref="H1:H3"/>
    <mergeCell ref="I1:I3"/>
    <mergeCell ref="J1:J3"/>
  </mergeCells>
  <pageMargins left="0.69930555555555496" right="0.69930555555555496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67"/>
  <sheetViews>
    <sheetView zoomScale="70" zoomScaleNormal="70" workbookViewId="0">
      <selection activeCell="D5" sqref="D5"/>
    </sheetView>
  </sheetViews>
  <sheetFormatPr defaultRowHeight="14.25"/>
  <cols>
    <col min="1" max="1" width="26.59765625" customWidth="1"/>
    <col min="2" max="2" width="12.73046875" customWidth="1"/>
    <col min="3" max="3" width="9" customWidth="1"/>
    <col min="4" max="4" width="11.59765625" customWidth="1"/>
    <col min="5" max="5" width="30.1328125" customWidth="1"/>
    <col min="6" max="7" width="14.1328125" customWidth="1"/>
    <col min="8" max="8" width="12" customWidth="1"/>
    <col min="9" max="9" width="12.1328125" customWidth="1"/>
    <col min="10" max="1022" width="9" customWidth="1"/>
  </cols>
  <sheetData>
    <row r="1" spans="1:9" ht="46.35" customHeight="1" thickBot="1">
      <c r="D1" s="162" t="s">
        <v>64</v>
      </c>
      <c r="E1" s="163" t="s">
        <v>65</v>
      </c>
      <c r="F1" s="160">
        <v>2022</v>
      </c>
      <c r="G1" s="160">
        <v>2021</v>
      </c>
      <c r="H1" s="16" t="s">
        <v>66</v>
      </c>
      <c r="I1" s="160" t="s">
        <v>67</v>
      </c>
    </row>
    <row r="2" spans="1:9" ht="14.65" thickBot="1">
      <c r="D2" s="162"/>
      <c r="E2" s="163"/>
      <c r="F2" s="160"/>
      <c r="G2" s="160"/>
      <c r="H2" s="17"/>
      <c r="I2" s="160"/>
    </row>
    <row r="3" spans="1:9" ht="15" thickBot="1">
      <c r="D3" s="162"/>
      <c r="E3" s="163"/>
      <c r="F3" s="160"/>
      <c r="G3" s="160"/>
      <c r="H3" s="18" t="s">
        <v>68</v>
      </c>
      <c r="I3" s="160"/>
    </row>
    <row r="4" spans="1:9" ht="15" thickBot="1">
      <c r="D4" s="19"/>
      <c r="E4" s="20"/>
      <c r="F4" s="21" t="s">
        <v>69</v>
      </c>
      <c r="G4" s="21" t="s">
        <v>69</v>
      </c>
      <c r="H4" s="21" t="s">
        <v>69</v>
      </c>
      <c r="I4" s="21"/>
    </row>
    <row r="5" spans="1:9" ht="15" thickBot="1">
      <c r="D5" s="19" t="s">
        <v>164</v>
      </c>
      <c r="E5" s="22" t="s">
        <v>70</v>
      </c>
      <c r="F5" s="23">
        <v>14132050</v>
      </c>
      <c r="G5" s="23">
        <v>13136620</v>
      </c>
      <c r="H5" s="24">
        <v>995430</v>
      </c>
      <c r="I5" s="25">
        <v>7.5775199404413005E-2</v>
      </c>
    </row>
    <row r="6" spans="1:9" ht="15" thickBot="1">
      <c r="A6" s="1"/>
      <c r="B6" s="1"/>
      <c r="C6" s="1"/>
      <c r="D6" s="19" t="s">
        <v>165</v>
      </c>
      <c r="E6" s="22" t="s">
        <v>71</v>
      </c>
      <c r="F6" s="24">
        <v>13995450</v>
      </c>
      <c r="G6" s="24">
        <v>12817580</v>
      </c>
      <c r="H6" s="24">
        <v>1177870</v>
      </c>
      <c r="I6" s="25">
        <v>9.1894881873177306E-2</v>
      </c>
    </row>
    <row r="7" spans="1:9" ht="15" thickBot="1">
      <c r="A7" s="1"/>
      <c r="B7" s="1"/>
      <c r="C7" s="1"/>
      <c r="D7" s="19" t="s">
        <v>166</v>
      </c>
      <c r="E7" s="22" t="s">
        <v>72</v>
      </c>
      <c r="F7" s="24">
        <v>2519250</v>
      </c>
      <c r="G7" s="24">
        <v>2159900</v>
      </c>
      <c r="H7" s="24">
        <v>359350</v>
      </c>
      <c r="I7" s="25">
        <v>0.16637344321496367</v>
      </c>
    </row>
    <row r="8" spans="1:9" ht="15" thickBot="1">
      <c r="A8" s="1"/>
      <c r="B8" s="1"/>
      <c r="C8" s="1"/>
      <c r="D8" s="19" t="s">
        <v>167</v>
      </c>
      <c r="E8" s="22" t="s">
        <v>73</v>
      </c>
      <c r="F8" s="24">
        <v>8504550</v>
      </c>
      <c r="G8" s="24">
        <v>4041600</v>
      </c>
      <c r="H8" s="24">
        <v>4462950</v>
      </c>
      <c r="I8" s="25">
        <v>1.1042532660332542</v>
      </c>
    </row>
    <row r="9" spans="1:9" ht="15" thickBot="1">
      <c r="A9" s="1"/>
      <c r="B9" s="1"/>
      <c r="C9" s="1"/>
      <c r="D9" s="19" t="s">
        <v>168</v>
      </c>
      <c r="E9" s="22" t="s">
        <v>74</v>
      </c>
      <c r="F9" s="24">
        <v>42941500</v>
      </c>
      <c r="G9" s="24">
        <v>31563200</v>
      </c>
      <c r="H9" s="24">
        <v>11378300</v>
      </c>
      <c r="I9" s="25">
        <v>0.3604925989760227</v>
      </c>
    </row>
    <row r="10" spans="1:9" ht="15" thickBot="1">
      <c r="A10" s="1"/>
      <c r="B10" s="1"/>
      <c r="C10" s="1"/>
      <c r="D10" s="19" t="s">
        <v>169</v>
      </c>
      <c r="E10" s="22" t="s">
        <v>75</v>
      </c>
      <c r="F10" s="24">
        <v>10878350</v>
      </c>
      <c r="G10" s="24">
        <v>8122300</v>
      </c>
      <c r="H10" s="24">
        <v>2756050</v>
      </c>
      <c r="I10" s="25">
        <v>0.3393189121308004</v>
      </c>
    </row>
    <row r="11" spans="1:9" ht="15" thickBot="1">
      <c r="A11" s="1"/>
      <c r="B11" s="1"/>
      <c r="C11" s="1"/>
      <c r="D11" s="19" t="s">
        <v>170</v>
      </c>
      <c r="E11" s="22" t="s">
        <v>76</v>
      </c>
      <c r="F11" s="24">
        <v>3123150</v>
      </c>
      <c r="G11" s="24">
        <v>3995000</v>
      </c>
      <c r="H11" s="24">
        <v>-871850</v>
      </c>
      <c r="I11" s="25">
        <v>-0.21823529411764706</v>
      </c>
    </row>
    <row r="12" spans="1:9" ht="15" thickBot="1">
      <c r="A12" s="1"/>
      <c r="B12" s="1"/>
      <c r="C12" s="1"/>
      <c r="D12" s="19" t="s">
        <v>171</v>
      </c>
      <c r="E12" s="22" t="s">
        <v>77</v>
      </c>
      <c r="F12" s="24">
        <v>492150</v>
      </c>
      <c r="G12" s="24">
        <v>338350</v>
      </c>
      <c r="H12" s="24">
        <v>153800</v>
      </c>
      <c r="I12" s="25">
        <v>0.45455888872469336</v>
      </c>
    </row>
    <row r="13" spans="1:9" ht="15" thickBot="1">
      <c r="A13" s="1"/>
      <c r="B13" s="1"/>
      <c r="C13" s="1"/>
      <c r="D13" s="19" t="s">
        <v>172</v>
      </c>
      <c r="E13" s="22" t="s">
        <v>78</v>
      </c>
      <c r="F13" s="24">
        <v>527100</v>
      </c>
      <c r="G13" s="24">
        <v>486800</v>
      </c>
      <c r="H13" s="24">
        <v>40300</v>
      </c>
      <c r="I13" s="25">
        <v>8.2785538208709944E-2</v>
      </c>
    </row>
    <row r="14" spans="1:9" ht="28.9" thickBot="1">
      <c r="A14" s="1"/>
      <c r="B14" s="1"/>
      <c r="C14" s="1"/>
      <c r="D14" s="19" t="s">
        <v>173</v>
      </c>
      <c r="E14" s="22" t="s">
        <v>45</v>
      </c>
      <c r="F14" s="24">
        <v>330000</v>
      </c>
      <c r="G14" s="24">
        <v>0</v>
      </c>
      <c r="H14" s="24">
        <v>330000</v>
      </c>
      <c r="I14" s="25" t="e">
        <v>#DIV/0!</v>
      </c>
    </row>
    <row r="15" spans="1:9" ht="15" thickBot="1">
      <c r="A15" s="1"/>
      <c r="B15" s="1"/>
      <c r="C15" s="1"/>
      <c r="D15" s="19" t="s">
        <v>174</v>
      </c>
      <c r="E15" s="22" t="s">
        <v>79</v>
      </c>
      <c r="F15" s="24">
        <v>17284430</v>
      </c>
      <c r="G15" s="24">
        <v>14525200</v>
      </c>
      <c r="H15" s="24">
        <v>2759230</v>
      </c>
      <c r="I15" s="25">
        <v>0.18996158400572796</v>
      </c>
    </row>
    <row r="16" spans="1:9" ht="15" thickBot="1">
      <c r="A16" s="1"/>
      <c r="B16" s="1"/>
      <c r="C16" s="1"/>
      <c r="D16" s="19" t="s">
        <v>175</v>
      </c>
      <c r="E16" s="84" t="s">
        <v>51</v>
      </c>
      <c r="F16" s="85">
        <v>0</v>
      </c>
      <c r="G16" s="85">
        <v>218100</v>
      </c>
      <c r="H16" s="85">
        <v>-218100</v>
      </c>
      <c r="I16" s="86">
        <v>-1</v>
      </c>
    </row>
    <row r="17" spans="1:17" ht="15" thickBot="1">
      <c r="A17" s="1"/>
      <c r="B17" s="1"/>
      <c r="C17" s="1"/>
      <c r="D17" s="19" t="s">
        <v>176</v>
      </c>
      <c r="E17" s="22" t="s">
        <v>80</v>
      </c>
      <c r="F17" s="24">
        <v>109100</v>
      </c>
      <c r="G17" s="24">
        <v>139800</v>
      </c>
      <c r="H17" s="24">
        <v>-30700</v>
      </c>
      <c r="I17" s="25">
        <v>-0.21959942775393418</v>
      </c>
    </row>
    <row r="18" spans="1:17" ht="15" thickBot="1">
      <c r="A18" s="1"/>
      <c r="B18" s="1"/>
      <c r="C18" s="1"/>
      <c r="D18" s="19" t="s">
        <v>177</v>
      </c>
      <c r="E18" s="22" t="s">
        <v>28</v>
      </c>
      <c r="F18" s="24">
        <v>1269800</v>
      </c>
      <c r="G18" s="24">
        <v>855050</v>
      </c>
      <c r="H18" s="24">
        <v>414750</v>
      </c>
      <c r="I18" s="25">
        <v>0.48505935325419564</v>
      </c>
    </row>
    <row r="19" spans="1:17" ht="43.15" thickBot="1">
      <c r="A19" s="1"/>
      <c r="B19" s="1"/>
      <c r="C19" s="1"/>
      <c r="D19" s="19" t="s">
        <v>178</v>
      </c>
      <c r="E19" s="22" t="s">
        <v>81</v>
      </c>
      <c r="F19" s="24">
        <v>345600</v>
      </c>
      <c r="G19" s="24">
        <v>293000</v>
      </c>
      <c r="H19" s="24">
        <v>52600</v>
      </c>
      <c r="I19" s="25">
        <v>0.17952218430034131</v>
      </c>
    </row>
    <row r="20" spans="1:17" ht="15" thickBot="1">
      <c r="A20" s="1"/>
      <c r="B20" s="1"/>
      <c r="C20" s="1"/>
      <c r="D20" s="19" t="s">
        <v>179</v>
      </c>
      <c r="E20" s="22" t="s">
        <v>52</v>
      </c>
      <c r="F20" s="24">
        <v>0</v>
      </c>
      <c r="G20" s="24">
        <v>53000</v>
      </c>
      <c r="H20" s="24">
        <v>-53000</v>
      </c>
      <c r="I20" s="25">
        <v>-1</v>
      </c>
    </row>
    <row r="21" spans="1:17" ht="15" thickBot="1">
      <c r="A21" s="1"/>
      <c r="B21" s="1"/>
      <c r="C21" s="1"/>
      <c r="D21" s="19" t="s">
        <v>180</v>
      </c>
      <c r="E21" s="22" t="s">
        <v>50</v>
      </c>
      <c r="F21" s="24">
        <v>700600</v>
      </c>
      <c r="G21" s="24">
        <v>870100</v>
      </c>
      <c r="H21" s="24">
        <v>-169500</v>
      </c>
      <c r="I21" s="25">
        <v>-0.19480519480519481</v>
      </c>
    </row>
    <row r="22" spans="1:17" ht="15" thickBot="1">
      <c r="A22" s="1"/>
      <c r="B22" s="1"/>
      <c r="C22" s="1"/>
      <c r="D22" s="19" t="s">
        <v>181</v>
      </c>
      <c r="E22" s="22" t="s">
        <v>83</v>
      </c>
      <c r="F22" s="24">
        <v>679450</v>
      </c>
      <c r="G22" s="24">
        <v>597650</v>
      </c>
      <c r="H22" s="24">
        <v>81800</v>
      </c>
      <c r="I22" s="25">
        <v>0.13686940517025015</v>
      </c>
    </row>
    <row r="23" spans="1:17" s="28" customFormat="1" ht="15" thickBot="1">
      <c r="A23" s="77"/>
      <c r="B23" s="77"/>
      <c r="C23" s="77"/>
      <c r="D23" s="19" t="s">
        <v>182</v>
      </c>
      <c r="E23" s="22" t="s">
        <v>36</v>
      </c>
      <c r="F23" s="24">
        <v>13506050</v>
      </c>
      <c r="G23" s="24">
        <v>12818300</v>
      </c>
      <c r="H23" s="24">
        <v>687750</v>
      </c>
      <c r="I23" s="25">
        <v>5.3653760639086306E-2</v>
      </c>
      <c r="J23" s="82"/>
      <c r="K23" s="82"/>
      <c r="L23" s="82"/>
      <c r="M23" s="82"/>
      <c r="N23" s="82"/>
      <c r="O23" s="82"/>
      <c r="P23" s="82"/>
      <c r="Q23" s="82"/>
    </row>
    <row r="24" spans="1:17" ht="15" thickBot="1">
      <c r="A24" s="1"/>
      <c r="B24" s="1"/>
      <c r="C24" s="1"/>
      <c r="D24" s="19" t="s">
        <v>183</v>
      </c>
      <c r="E24" s="22" t="s">
        <v>84</v>
      </c>
      <c r="F24" s="24">
        <v>4105300</v>
      </c>
      <c r="G24" s="24">
        <v>3036950</v>
      </c>
      <c r="H24" s="24">
        <v>1068350</v>
      </c>
      <c r="I24" s="25">
        <v>0.35178386209848694</v>
      </c>
    </row>
    <row r="25" spans="1:17" ht="15" thickBot="1">
      <c r="A25" s="1"/>
      <c r="B25" s="1"/>
      <c r="C25" s="1"/>
      <c r="D25" s="19" t="s">
        <v>184</v>
      </c>
      <c r="E25" s="22" t="s">
        <v>82</v>
      </c>
      <c r="F25" s="29">
        <v>13721800</v>
      </c>
      <c r="G25" s="29">
        <v>12051100</v>
      </c>
      <c r="H25" s="24">
        <v>1670700</v>
      </c>
      <c r="I25" s="25">
        <v>0.13863464745956799</v>
      </c>
    </row>
    <row r="26" spans="1:17" ht="15" thickBot="1">
      <c r="A26" s="1"/>
      <c r="B26" s="1"/>
      <c r="C26" s="1"/>
      <c r="D26" s="19" t="s">
        <v>185</v>
      </c>
      <c r="E26" s="22" t="s">
        <v>39</v>
      </c>
      <c r="F26" s="24">
        <v>0</v>
      </c>
      <c r="G26" s="24">
        <v>587850</v>
      </c>
      <c r="H26" s="24">
        <v>-587850</v>
      </c>
      <c r="I26" s="25">
        <v>-1</v>
      </c>
    </row>
    <row r="27" spans="1:17" ht="28.9" thickBot="1">
      <c r="A27" s="1"/>
      <c r="B27" s="1"/>
      <c r="C27" s="1"/>
      <c r="D27" s="19" t="s">
        <v>186</v>
      </c>
      <c r="E27" s="22" t="s">
        <v>85</v>
      </c>
      <c r="F27" s="24">
        <v>116850</v>
      </c>
      <c r="G27" s="24">
        <v>2005850</v>
      </c>
      <c r="H27" s="24">
        <v>-1889000</v>
      </c>
      <c r="I27" s="25">
        <v>-0.94174539472044272</v>
      </c>
    </row>
    <row r="28" spans="1:17" ht="15" thickBot="1">
      <c r="A28" s="1"/>
      <c r="B28" s="1"/>
      <c r="C28" s="1"/>
      <c r="D28" s="19" t="s">
        <v>187</v>
      </c>
      <c r="E28" s="22" t="s">
        <v>86</v>
      </c>
      <c r="F28" s="24">
        <v>0</v>
      </c>
      <c r="G28" s="24">
        <v>0</v>
      </c>
      <c r="H28" s="24">
        <v>0</v>
      </c>
      <c r="I28" s="25">
        <v>0</v>
      </c>
    </row>
    <row r="29" spans="1:17" ht="15" thickBot="1">
      <c r="A29" s="1"/>
      <c r="B29" s="1"/>
      <c r="C29" s="1"/>
      <c r="D29" s="19" t="s">
        <v>188</v>
      </c>
      <c r="E29" s="22" t="s">
        <v>87</v>
      </c>
      <c r="F29" s="30">
        <v>0</v>
      </c>
      <c r="G29" s="30">
        <v>0</v>
      </c>
      <c r="H29" s="24">
        <v>0</v>
      </c>
      <c r="I29" s="25">
        <v>0</v>
      </c>
    </row>
    <row r="30" spans="1:17" ht="15" thickBot="1">
      <c r="A30" s="1"/>
      <c r="B30" s="1"/>
      <c r="C30" s="1"/>
      <c r="D30" s="19" t="s">
        <v>189</v>
      </c>
      <c r="E30" s="22" t="s">
        <v>88</v>
      </c>
      <c r="F30" s="24">
        <v>1314100</v>
      </c>
      <c r="G30" s="24">
        <v>123550</v>
      </c>
      <c r="H30" s="24">
        <v>1190550</v>
      </c>
      <c r="I30" s="25">
        <v>9.6361796843383249</v>
      </c>
    </row>
    <row r="31" spans="1:17" ht="15" thickBot="1">
      <c r="A31" s="1"/>
      <c r="B31" s="1"/>
      <c r="C31" s="1"/>
      <c r="D31" s="19" t="s">
        <v>190</v>
      </c>
      <c r="E31" s="22" t="s">
        <v>89</v>
      </c>
      <c r="F31" s="24">
        <v>101000</v>
      </c>
      <c r="G31" s="24">
        <v>0</v>
      </c>
      <c r="H31" s="24">
        <v>101000</v>
      </c>
      <c r="I31" s="25">
        <v>1</v>
      </c>
    </row>
    <row r="32" spans="1:17" ht="15" thickBot="1">
      <c r="A32" s="1"/>
      <c r="B32" s="1"/>
      <c r="C32" s="1"/>
      <c r="D32" s="19" t="s">
        <v>191</v>
      </c>
      <c r="E32" s="22" t="s">
        <v>90</v>
      </c>
      <c r="F32" s="24">
        <v>0</v>
      </c>
      <c r="G32" s="24">
        <v>473600</v>
      </c>
      <c r="H32" s="24">
        <v>-473600</v>
      </c>
      <c r="I32" s="25">
        <v>-1</v>
      </c>
    </row>
    <row r="33" spans="1:76" ht="15" thickBot="1">
      <c r="A33" s="1"/>
      <c r="B33" s="1"/>
      <c r="C33" s="1"/>
      <c r="D33" s="19" t="s">
        <v>192</v>
      </c>
      <c r="E33" s="22" t="s">
        <v>47</v>
      </c>
      <c r="F33" s="31">
        <v>380550</v>
      </c>
      <c r="G33" s="31">
        <v>264800</v>
      </c>
      <c r="H33" s="24">
        <v>115750</v>
      </c>
      <c r="I33" s="25">
        <v>1</v>
      </c>
    </row>
    <row r="34" spans="1:76" s="81" customFormat="1" ht="15" thickBot="1">
      <c r="A34" s="79"/>
      <c r="B34" s="79"/>
      <c r="C34" s="79"/>
      <c r="D34" s="130" t="s">
        <v>193</v>
      </c>
      <c r="E34" s="131" t="s">
        <v>91</v>
      </c>
      <c r="F34" s="132">
        <v>1445650</v>
      </c>
      <c r="G34" s="132">
        <v>1624150</v>
      </c>
      <c r="H34" s="132">
        <v>-178500</v>
      </c>
      <c r="I34" s="133">
        <v>-0.10990364190499646</v>
      </c>
    </row>
    <row r="35" spans="1:76" s="80" customFormat="1" ht="43.15" thickBot="1">
      <c r="A35" s="78"/>
      <c r="B35" s="78"/>
      <c r="C35" s="78"/>
      <c r="D35" s="130" t="s">
        <v>194</v>
      </c>
      <c r="E35" s="131" t="s">
        <v>92</v>
      </c>
      <c r="F35" s="134">
        <v>0</v>
      </c>
      <c r="G35" s="134">
        <v>0</v>
      </c>
      <c r="H35" s="132">
        <v>0</v>
      </c>
      <c r="I35" s="133">
        <v>0</v>
      </c>
    </row>
    <row r="36" spans="1:76" s="81" customFormat="1" ht="28.9" thickBot="1">
      <c r="A36" s="79"/>
      <c r="B36" s="79"/>
      <c r="C36" s="79"/>
      <c r="D36" s="130" t="s">
        <v>195</v>
      </c>
      <c r="E36" s="131" t="s">
        <v>93</v>
      </c>
      <c r="F36" s="132">
        <v>0</v>
      </c>
      <c r="G36" s="132">
        <v>151600</v>
      </c>
      <c r="H36" s="132">
        <v>-151600</v>
      </c>
      <c r="I36" s="133">
        <v>-1</v>
      </c>
    </row>
    <row r="37" spans="1:76" s="80" customFormat="1" ht="15" thickBot="1">
      <c r="A37" s="78"/>
      <c r="B37" s="78"/>
      <c r="C37" s="78"/>
      <c r="D37" s="130" t="s">
        <v>196</v>
      </c>
      <c r="E37" s="131" t="s">
        <v>94</v>
      </c>
      <c r="F37" s="132">
        <v>0</v>
      </c>
      <c r="G37" s="132">
        <v>0</v>
      </c>
      <c r="H37" s="132">
        <v>0</v>
      </c>
      <c r="I37" s="133" t="e">
        <v>#DIV/0!</v>
      </c>
    </row>
    <row r="38" spans="1:76" s="81" customFormat="1" ht="15" thickBot="1">
      <c r="A38" s="79"/>
      <c r="B38" s="79"/>
      <c r="C38" s="79"/>
      <c r="D38" s="130" t="s">
        <v>197</v>
      </c>
      <c r="E38" s="135" t="s">
        <v>53</v>
      </c>
      <c r="F38" s="132">
        <v>78200</v>
      </c>
      <c r="G38" s="132">
        <v>91000</v>
      </c>
      <c r="H38" s="132">
        <v>-12800</v>
      </c>
      <c r="I38" s="133">
        <v>-0.14065934065934066</v>
      </c>
    </row>
    <row r="39" spans="1:76" ht="15" thickBot="1">
      <c r="A39" s="78"/>
      <c r="B39" s="78"/>
      <c r="C39" s="78"/>
      <c r="D39" s="19" t="s">
        <v>198</v>
      </c>
      <c r="E39" s="19" t="s">
        <v>95</v>
      </c>
      <c r="F39" s="24">
        <v>1214050</v>
      </c>
      <c r="G39" s="24">
        <v>1035250</v>
      </c>
      <c r="H39" s="24">
        <v>178800</v>
      </c>
      <c r="I39" s="25">
        <v>0.17271190533687514</v>
      </c>
      <c r="J39" s="80"/>
      <c r="K39" s="80"/>
      <c r="L39" s="80"/>
      <c r="M39" s="80"/>
      <c r="N39" s="80"/>
      <c r="O39" s="80"/>
      <c r="P39" s="80"/>
    </row>
    <row r="40" spans="1:76" ht="15" thickBot="1">
      <c r="A40" s="78"/>
      <c r="B40" s="78"/>
      <c r="C40" s="78"/>
      <c r="D40" s="19" t="s">
        <v>199</v>
      </c>
      <c r="E40" s="19" t="s">
        <v>54</v>
      </c>
      <c r="F40" s="24">
        <v>0</v>
      </c>
      <c r="G40" s="24">
        <v>60000</v>
      </c>
      <c r="H40" s="24">
        <v>-60000</v>
      </c>
      <c r="I40" s="25">
        <v>-1</v>
      </c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</row>
    <row r="41" spans="1:76" s="32" customFormat="1" ht="15" thickBot="1">
      <c r="A41" s="79"/>
      <c r="B41" s="79"/>
      <c r="C41" s="79"/>
      <c r="D41" s="19" t="s">
        <v>200</v>
      </c>
      <c r="E41" s="19" t="s">
        <v>55</v>
      </c>
      <c r="F41" s="24">
        <v>0</v>
      </c>
      <c r="G41" s="24">
        <v>2330000</v>
      </c>
      <c r="H41" s="24">
        <v>-2330000</v>
      </c>
      <c r="I41" s="25">
        <v>-1</v>
      </c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</row>
    <row r="42" spans="1:76" ht="15" thickBot="1">
      <c r="A42" s="1"/>
      <c r="B42" s="1"/>
      <c r="C42" s="1"/>
      <c r="D42" s="19" t="s">
        <v>201</v>
      </c>
      <c r="E42" s="64" t="s">
        <v>56</v>
      </c>
      <c r="F42" s="24">
        <v>0</v>
      </c>
      <c r="G42" s="24">
        <v>10000</v>
      </c>
      <c r="H42" s="24">
        <v>-10000</v>
      </c>
      <c r="I42" s="25">
        <v>-1</v>
      </c>
      <c r="J42" s="80"/>
      <c r="K42" s="80"/>
      <c r="L42" s="80"/>
      <c r="M42" s="80"/>
      <c r="N42" s="80"/>
      <c r="O42" s="80"/>
      <c r="P42" s="80"/>
    </row>
    <row r="43" spans="1:76" ht="15.4" thickBot="1">
      <c r="A43" s="1"/>
      <c r="B43" s="1"/>
      <c r="C43" s="1"/>
      <c r="D43" s="19" t="s">
        <v>202</v>
      </c>
      <c r="E43" s="65" t="s">
        <v>57</v>
      </c>
      <c r="F43" s="66">
        <v>103800</v>
      </c>
      <c r="G43" s="66">
        <v>0</v>
      </c>
      <c r="H43" s="66">
        <v>103800</v>
      </c>
      <c r="I43" s="25">
        <v>1</v>
      </c>
      <c r="J43" s="80"/>
      <c r="K43" s="80"/>
      <c r="L43" s="80"/>
      <c r="M43" s="80"/>
      <c r="N43" s="80"/>
      <c r="O43" s="80"/>
      <c r="P43" s="80"/>
    </row>
    <row r="44" spans="1:76" ht="15.4" thickBot="1">
      <c r="A44" s="1"/>
      <c r="B44" s="1"/>
      <c r="C44" s="1"/>
      <c r="D44" s="19" t="s">
        <v>203</v>
      </c>
      <c r="E44" s="65" t="s">
        <v>58</v>
      </c>
      <c r="F44" s="66">
        <v>390000</v>
      </c>
      <c r="G44" s="66">
        <v>0</v>
      </c>
      <c r="H44" s="66">
        <v>390000</v>
      </c>
      <c r="I44" s="25">
        <v>1</v>
      </c>
      <c r="J44" s="80"/>
      <c r="K44" s="80"/>
      <c r="L44" s="80"/>
      <c r="M44" s="80"/>
      <c r="N44" s="80"/>
      <c r="O44" s="80"/>
      <c r="P44" s="80"/>
    </row>
    <row r="45" spans="1:76" ht="15.4" thickBot="1">
      <c r="A45" s="1"/>
      <c r="B45" s="1"/>
      <c r="C45" s="1"/>
      <c r="D45" s="19" t="s">
        <v>204</v>
      </c>
      <c r="E45" s="65" t="s">
        <v>59</v>
      </c>
      <c r="F45" s="66">
        <v>1657800</v>
      </c>
      <c r="G45" s="66">
        <v>0</v>
      </c>
      <c r="H45" s="66">
        <v>1657800</v>
      </c>
      <c r="I45" s="25">
        <v>1</v>
      </c>
      <c r="J45" s="80"/>
      <c r="K45" s="80"/>
      <c r="L45" s="80"/>
      <c r="M45" s="80"/>
      <c r="N45" s="80"/>
      <c r="O45" s="80"/>
      <c r="P45" s="80"/>
    </row>
    <row r="46" spans="1:76" ht="15.4" thickBot="1">
      <c r="A46" s="1"/>
      <c r="B46" s="1"/>
      <c r="C46" s="1"/>
      <c r="D46" s="19" t="s">
        <v>205</v>
      </c>
      <c r="E46" s="65" t="s">
        <v>60</v>
      </c>
      <c r="F46" s="66">
        <v>619450</v>
      </c>
      <c r="G46" s="66">
        <v>0</v>
      </c>
      <c r="H46" s="66">
        <v>619450</v>
      </c>
      <c r="I46" s="25">
        <v>1</v>
      </c>
      <c r="J46" s="80"/>
      <c r="K46" s="80"/>
      <c r="L46" s="80"/>
      <c r="M46" s="80"/>
      <c r="N46" s="80"/>
      <c r="O46" s="80"/>
      <c r="P46" s="80"/>
    </row>
    <row r="47" spans="1:76" ht="15.4" thickBot="1">
      <c r="A47" s="1"/>
      <c r="B47" s="1"/>
      <c r="C47" s="1"/>
      <c r="D47" s="19" t="s">
        <v>206</v>
      </c>
      <c r="E47" s="65" t="s">
        <v>61</v>
      </c>
      <c r="F47" s="66">
        <v>21100</v>
      </c>
      <c r="G47" s="66">
        <v>0</v>
      </c>
      <c r="H47" s="66">
        <v>21100</v>
      </c>
      <c r="I47" s="25">
        <v>1</v>
      </c>
      <c r="J47" s="80"/>
      <c r="K47" s="80"/>
      <c r="L47" s="80"/>
      <c r="M47" s="80"/>
      <c r="N47" s="80"/>
      <c r="O47" s="80"/>
      <c r="P47" s="80"/>
    </row>
    <row r="48" spans="1:76" ht="15.4" thickBot="1">
      <c r="A48" s="1"/>
      <c r="B48" s="1"/>
      <c r="C48" s="1"/>
      <c r="D48" s="19" t="s">
        <v>207</v>
      </c>
      <c r="E48" s="65" t="s">
        <v>62</v>
      </c>
      <c r="F48" s="66">
        <v>13474120</v>
      </c>
      <c r="G48" s="66">
        <v>0</v>
      </c>
      <c r="H48" s="66">
        <v>13598650</v>
      </c>
      <c r="I48" s="25">
        <v>1</v>
      </c>
      <c r="J48" s="80"/>
      <c r="K48" s="80"/>
      <c r="L48" s="80"/>
      <c r="M48" s="80"/>
      <c r="N48" s="80"/>
      <c r="O48" s="80"/>
      <c r="P48" s="80"/>
    </row>
    <row r="49" spans="1:16" ht="29.25">
      <c r="A49" s="1"/>
      <c r="B49" s="1"/>
      <c r="C49" s="1"/>
      <c r="D49" s="64" t="s">
        <v>208</v>
      </c>
      <c r="E49" s="117" t="s">
        <v>209</v>
      </c>
      <c r="F49" s="114">
        <f>SUM(F5:F48)</f>
        <v>170082350</v>
      </c>
      <c r="G49" s="114">
        <v>130877250</v>
      </c>
      <c r="H49" s="114">
        <v>39365630</v>
      </c>
      <c r="I49" s="115">
        <v>0.30078283276887313</v>
      </c>
      <c r="J49" s="80"/>
      <c r="K49" s="80"/>
      <c r="L49" s="80"/>
      <c r="M49" s="80"/>
      <c r="N49" s="80"/>
      <c r="O49" s="80"/>
      <c r="P49" s="80"/>
    </row>
    <row r="50" spans="1:16" ht="14.65">
      <c r="A50" s="1"/>
      <c r="B50" s="1"/>
      <c r="C50" s="1"/>
      <c r="D50" s="64" t="s">
        <v>212</v>
      </c>
      <c r="E50" s="126" t="s">
        <v>210</v>
      </c>
      <c r="F50" s="127">
        <v>25000000</v>
      </c>
      <c r="G50" s="127">
        <v>43000000</v>
      </c>
      <c r="H50" s="127">
        <v>-18000000</v>
      </c>
      <c r="I50" s="128">
        <v>-0.41860465116279072</v>
      </c>
      <c r="J50" s="80"/>
      <c r="K50" s="80"/>
      <c r="L50" s="80"/>
      <c r="M50" s="80"/>
      <c r="N50" s="80"/>
      <c r="O50" s="80"/>
      <c r="P50" s="80"/>
    </row>
    <row r="51" spans="1:16" ht="29.25">
      <c r="A51" s="1"/>
      <c r="B51" s="1"/>
      <c r="C51" s="1"/>
      <c r="D51" s="129" t="s">
        <v>213</v>
      </c>
      <c r="E51" s="118" t="s">
        <v>211</v>
      </c>
      <c r="F51" s="119">
        <f>F49+F50</f>
        <v>195082350</v>
      </c>
      <c r="G51" s="119">
        <v>173877250</v>
      </c>
      <c r="H51" s="119">
        <v>21329630</v>
      </c>
      <c r="I51" s="116">
        <v>0.12267061964690608</v>
      </c>
      <c r="J51" s="80"/>
      <c r="K51" s="80"/>
      <c r="L51" s="80"/>
      <c r="M51" s="80"/>
      <c r="N51" s="80"/>
      <c r="O51" s="80"/>
      <c r="P51" s="80"/>
    </row>
    <row r="52" spans="1:16" ht="14.65">
      <c r="A52" s="1"/>
      <c r="B52" s="1"/>
      <c r="C52" s="1"/>
      <c r="D52" s="61"/>
      <c r="E52" s="61"/>
      <c r="F52" s="62"/>
      <c r="G52" s="62"/>
      <c r="H52" s="62"/>
      <c r="I52" s="63"/>
    </row>
    <row r="53" spans="1:16" ht="17.649999999999999">
      <c r="A53" s="33"/>
      <c r="B53" s="1"/>
      <c r="C53" s="1"/>
      <c r="D53" s="61"/>
      <c r="E53" s="113"/>
      <c r="F53" s="62"/>
      <c r="G53" s="62"/>
      <c r="H53" s="62"/>
      <c r="I53" s="63"/>
    </row>
    <row r="54" spans="1:16" ht="14.65">
      <c r="A54" s="1"/>
      <c r="B54" s="1"/>
      <c r="C54" s="1"/>
      <c r="D54" s="61"/>
      <c r="E54" s="61"/>
      <c r="F54" s="62"/>
      <c r="G54" s="62"/>
      <c r="H54" s="62"/>
      <c r="I54" s="63"/>
    </row>
    <row r="55" spans="1:16" ht="14.65">
      <c r="A55" s="1"/>
      <c r="B55" s="1"/>
      <c r="C55" s="1"/>
      <c r="D55" s="61"/>
      <c r="E55" s="61"/>
      <c r="F55" s="125"/>
      <c r="G55" s="62"/>
      <c r="H55" s="62"/>
      <c r="I55" s="63"/>
    </row>
    <row r="56" spans="1:16">
      <c r="A56" s="34"/>
      <c r="B56" s="1"/>
      <c r="C56" s="1"/>
      <c r="D56" s="1"/>
      <c r="E56" s="1"/>
      <c r="F56" s="1"/>
      <c r="H56" s="35"/>
    </row>
    <row r="57" spans="1:16">
      <c r="A57" s="1"/>
      <c r="B57" s="1"/>
      <c r="C57" s="1"/>
      <c r="D57" s="1"/>
      <c r="E57" s="1"/>
      <c r="F57" s="1"/>
      <c r="G57" s="123"/>
      <c r="H57" s="123"/>
    </row>
    <row r="58" spans="1:16">
      <c r="A58" s="1"/>
      <c r="B58" s="1"/>
      <c r="C58" s="1"/>
      <c r="D58" s="1"/>
      <c r="E58" s="1"/>
      <c r="F58" s="124"/>
      <c r="G58" s="123"/>
    </row>
    <row r="59" spans="1:16">
      <c r="A59" s="1"/>
      <c r="B59" s="1"/>
      <c r="C59" s="1"/>
      <c r="D59" s="1"/>
      <c r="E59" s="1"/>
      <c r="F59" s="1"/>
    </row>
    <row r="60" spans="1:16">
      <c r="A60" s="1"/>
      <c r="B60" s="1"/>
      <c r="C60" s="1"/>
      <c r="D60" s="1"/>
      <c r="E60" s="1"/>
      <c r="F60" s="124"/>
    </row>
    <row r="61" spans="1:16">
      <c r="A61" s="1"/>
      <c r="B61" s="1"/>
      <c r="C61" s="1"/>
      <c r="D61" s="1"/>
      <c r="E61" s="1"/>
      <c r="F61" s="1"/>
    </row>
    <row r="62" spans="1:16">
      <c r="D62" s="1"/>
      <c r="E62" s="1"/>
      <c r="F62" s="1"/>
    </row>
    <row r="63" spans="1:16">
      <c r="D63" s="1"/>
      <c r="E63" s="1"/>
      <c r="F63" s="1"/>
    </row>
    <row r="64" spans="1:16">
      <c r="D64" s="1"/>
      <c r="E64" s="1"/>
      <c r="F64" s="1"/>
    </row>
    <row r="65" spans="4:6">
      <c r="D65" s="1"/>
      <c r="E65" s="1"/>
      <c r="F65" s="1"/>
    </row>
    <row r="66" spans="4:6">
      <c r="D66" s="1"/>
      <c r="E66" s="1"/>
      <c r="F66" s="1"/>
    </row>
    <row r="67" spans="4:6">
      <c r="D67" s="1"/>
      <c r="E67" s="1"/>
      <c r="F67" s="1"/>
    </row>
  </sheetData>
  <mergeCells count="5">
    <mergeCell ref="D1:D3"/>
    <mergeCell ref="E1:E3"/>
    <mergeCell ref="F1:F3"/>
    <mergeCell ref="G1:G3"/>
    <mergeCell ref="I1:I3"/>
  </mergeCells>
  <phoneticPr fontId="2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H39"/>
  <sheetViews>
    <sheetView topLeftCell="A27" zoomScaleNormal="100" workbookViewId="0">
      <selection activeCell="F38" sqref="F38"/>
    </sheetView>
  </sheetViews>
  <sheetFormatPr defaultRowHeight="14.25"/>
  <cols>
    <col min="1" max="4" width="9" customWidth="1"/>
    <col min="5" max="5" width="11.73046875" customWidth="1"/>
    <col min="6" max="6" width="10" customWidth="1"/>
    <col min="7" max="7" width="10.59765625" customWidth="1"/>
    <col min="8" max="8" width="11.86328125" customWidth="1"/>
    <col min="9" max="1025" width="9" customWidth="1"/>
  </cols>
  <sheetData>
    <row r="1" spans="3:8" ht="15.6" customHeight="1"/>
    <row r="2" spans="3:8" ht="114">
      <c r="C2" s="37" t="s">
        <v>98</v>
      </c>
      <c r="D2" s="38" t="s">
        <v>99</v>
      </c>
      <c r="E2" s="39"/>
      <c r="F2" s="39">
        <v>6070000</v>
      </c>
      <c r="G2" s="40">
        <f t="shared" ref="G2:G16" si="0">E2-F2</f>
        <v>-6070000</v>
      </c>
      <c r="H2" s="41">
        <f t="shared" ref="H2:H16" si="1">G2/F2</f>
        <v>-1</v>
      </c>
    </row>
    <row r="3" spans="3:8" ht="71.25">
      <c r="C3" s="42" t="s">
        <v>100</v>
      </c>
      <c r="D3" s="22" t="s">
        <v>101</v>
      </c>
      <c r="E3" s="39">
        <v>31949675</v>
      </c>
      <c r="F3" s="39">
        <v>31949675</v>
      </c>
      <c r="G3" s="40">
        <f t="shared" si="0"/>
        <v>0</v>
      </c>
      <c r="H3" s="41">
        <f t="shared" si="1"/>
        <v>0</v>
      </c>
    </row>
    <row r="4" spans="3:8" ht="77.45" customHeight="1">
      <c r="C4" s="36" t="s">
        <v>102</v>
      </c>
      <c r="D4" s="22" t="s">
        <v>103</v>
      </c>
      <c r="E4" s="43">
        <v>2034180</v>
      </c>
      <c r="F4" s="43">
        <v>2034180</v>
      </c>
      <c r="G4" s="40">
        <f t="shared" si="0"/>
        <v>0</v>
      </c>
      <c r="H4" s="41">
        <f t="shared" si="1"/>
        <v>0</v>
      </c>
    </row>
    <row r="5" spans="3:8">
      <c r="C5" s="44" t="s">
        <v>104</v>
      </c>
      <c r="D5" s="45" t="s">
        <v>105</v>
      </c>
      <c r="E5" s="46">
        <v>13743700</v>
      </c>
      <c r="F5" s="46">
        <v>13743700</v>
      </c>
      <c r="G5" s="40">
        <f t="shared" si="0"/>
        <v>0</v>
      </c>
      <c r="H5" s="41">
        <f t="shared" si="1"/>
        <v>0</v>
      </c>
    </row>
    <row r="6" spans="3:8" ht="28.5">
      <c r="C6" s="36" t="s">
        <v>106</v>
      </c>
      <c r="D6" s="47" t="s">
        <v>107</v>
      </c>
      <c r="E6" s="39">
        <v>5977798</v>
      </c>
      <c r="F6" s="39">
        <v>5977798</v>
      </c>
      <c r="G6" s="40">
        <f t="shared" si="0"/>
        <v>0</v>
      </c>
      <c r="H6" s="41">
        <f t="shared" si="1"/>
        <v>0</v>
      </c>
    </row>
    <row r="7" spans="3:8" ht="17.45" customHeight="1">
      <c r="C7" s="36" t="s">
        <v>108</v>
      </c>
      <c r="D7" s="47" t="s">
        <v>109</v>
      </c>
      <c r="E7" s="39">
        <v>292000</v>
      </c>
      <c r="F7" s="39">
        <v>292000</v>
      </c>
      <c r="G7" s="40">
        <f t="shared" si="0"/>
        <v>0</v>
      </c>
      <c r="H7" s="41">
        <f t="shared" si="1"/>
        <v>0</v>
      </c>
    </row>
    <row r="8" spans="3:8" ht="99.75">
      <c r="C8" s="36" t="s">
        <v>110</v>
      </c>
      <c r="D8" s="47" t="s">
        <v>111</v>
      </c>
      <c r="E8" s="39">
        <v>7104500</v>
      </c>
      <c r="F8" s="39">
        <v>7104500</v>
      </c>
      <c r="G8" s="40">
        <f t="shared" si="0"/>
        <v>0</v>
      </c>
      <c r="H8" s="41">
        <f t="shared" si="1"/>
        <v>0</v>
      </c>
    </row>
    <row r="9" spans="3:8" ht="42.75">
      <c r="C9" s="36" t="s">
        <v>112</v>
      </c>
      <c r="D9" s="47" t="s">
        <v>113</v>
      </c>
      <c r="E9" s="47"/>
      <c r="F9" s="47"/>
      <c r="G9" s="40">
        <f t="shared" si="0"/>
        <v>0</v>
      </c>
      <c r="H9" s="41" t="e">
        <f t="shared" si="1"/>
        <v>#DIV/0!</v>
      </c>
    </row>
    <row r="10" spans="3:8" ht="62.45" customHeight="1">
      <c r="C10" s="36" t="s">
        <v>114</v>
      </c>
      <c r="D10" s="47" t="s">
        <v>115</v>
      </c>
      <c r="E10" s="39">
        <v>1795500</v>
      </c>
      <c r="F10" s="39">
        <v>1795500</v>
      </c>
      <c r="G10" s="40">
        <f t="shared" si="0"/>
        <v>0</v>
      </c>
      <c r="H10" s="41">
        <f t="shared" si="1"/>
        <v>0</v>
      </c>
    </row>
    <row r="11" spans="3:8" ht="128.25">
      <c r="C11" s="36" t="s">
        <v>116</v>
      </c>
      <c r="D11" s="47" t="s">
        <v>117</v>
      </c>
      <c r="E11" s="39">
        <v>5916800</v>
      </c>
      <c r="F11" s="39">
        <v>5916800</v>
      </c>
      <c r="G11" s="40">
        <f t="shared" si="0"/>
        <v>0</v>
      </c>
      <c r="H11" s="41">
        <f t="shared" si="1"/>
        <v>0</v>
      </c>
    </row>
    <row r="12" spans="3:8" ht="47.45" customHeight="1">
      <c r="C12" s="36" t="s">
        <v>118</v>
      </c>
      <c r="D12" s="47" t="s">
        <v>119</v>
      </c>
      <c r="E12" s="39">
        <v>1950000</v>
      </c>
      <c r="F12" s="39">
        <v>1950000</v>
      </c>
      <c r="G12" s="40">
        <f t="shared" si="0"/>
        <v>0</v>
      </c>
      <c r="H12" s="41">
        <f t="shared" si="1"/>
        <v>0</v>
      </c>
    </row>
    <row r="13" spans="3:8" ht="71.25">
      <c r="C13" s="36" t="s">
        <v>120</v>
      </c>
      <c r="D13" s="47" t="s">
        <v>121</v>
      </c>
      <c r="E13" s="39">
        <v>933400</v>
      </c>
      <c r="F13" s="39">
        <v>933400</v>
      </c>
      <c r="G13" s="40">
        <f t="shared" si="0"/>
        <v>0</v>
      </c>
      <c r="H13" s="41">
        <f t="shared" si="1"/>
        <v>0</v>
      </c>
    </row>
    <row r="14" spans="3:8" ht="42.75">
      <c r="C14" s="36" t="s">
        <v>122</v>
      </c>
      <c r="D14" s="47" t="s">
        <v>123</v>
      </c>
      <c r="E14" s="39">
        <v>1250000</v>
      </c>
      <c r="F14" s="39">
        <v>1250000</v>
      </c>
      <c r="G14" s="40">
        <f t="shared" si="0"/>
        <v>0</v>
      </c>
      <c r="H14" s="41">
        <f t="shared" si="1"/>
        <v>0</v>
      </c>
    </row>
    <row r="15" spans="3:8" ht="14.65">
      <c r="C15" s="36" t="s">
        <v>124</v>
      </c>
      <c r="D15" s="47" t="s">
        <v>125</v>
      </c>
      <c r="E15" s="47"/>
      <c r="F15" s="47"/>
      <c r="G15" s="40">
        <f t="shared" si="0"/>
        <v>0</v>
      </c>
      <c r="H15" s="41" t="e">
        <f t="shared" si="1"/>
        <v>#DIV/0!</v>
      </c>
    </row>
    <row r="16" spans="3:8" ht="32.450000000000003" customHeight="1">
      <c r="C16" s="36" t="s">
        <v>126</v>
      </c>
      <c r="D16" s="47" t="s">
        <v>127</v>
      </c>
      <c r="E16" s="39">
        <v>400000</v>
      </c>
      <c r="F16" s="39">
        <v>400000</v>
      </c>
      <c r="G16" s="40">
        <f t="shared" si="0"/>
        <v>0</v>
      </c>
      <c r="H16" s="41">
        <f t="shared" si="1"/>
        <v>0</v>
      </c>
    </row>
    <row r="17" spans="3:8" ht="29.25">
      <c r="C17" s="36" t="s">
        <v>128</v>
      </c>
      <c r="D17" s="48" t="s">
        <v>129</v>
      </c>
      <c r="E17" s="49">
        <f>SUM(E2:E16)</f>
        <v>73347553</v>
      </c>
      <c r="F17" s="50">
        <v>79417553</v>
      </c>
      <c r="G17" s="51">
        <v>79417553</v>
      </c>
      <c r="H17" s="52">
        <v>79417553</v>
      </c>
    </row>
    <row r="18" spans="3:8" ht="15">
      <c r="C18" s="36"/>
      <c r="D18" s="48"/>
      <c r="E18" s="49"/>
      <c r="F18" s="50"/>
      <c r="G18" s="51"/>
      <c r="H18" s="52"/>
    </row>
    <row r="19" spans="3:8" ht="15">
      <c r="C19" s="36"/>
      <c r="D19" s="48"/>
      <c r="E19" s="53"/>
      <c r="F19" s="50"/>
      <c r="G19" s="51"/>
      <c r="H19" s="52"/>
    </row>
    <row r="20" spans="3:8" ht="62.45" customHeight="1">
      <c r="C20" s="36" t="s">
        <v>130</v>
      </c>
      <c r="D20" s="48" t="s">
        <v>131</v>
      </c>
      <c r="E20" s="47"/>
      <c r="F20" s="47"/>
      <c r="G20" s="22" t="s">
        <v>132</v>
      </c>
      <c r="H20" s="22"/>
    </row>
    <row r="21" spans="3:8" ht="142.5">
      <c r="C21" s="36" t="s">
        <v>133</v>
      </c>
      <c r="D21" s="47" t="s">
        <v>134</v>
      </c>
      <c r="E21" s="43">
        <v>10730758</v>
      </c>
      <c r="F21" s="43">
        <v>19196600</v>
      </c>
      <c r="G21" s="43">
        <v>-10730758</v>
      </c>
      <c r="H21" s="54">
        <v>-0.56000000000000005</v>
      </c>
    </row>
    <row r="22" spans="3:8" ht="42.75">
      <c r="C22" s="36" t="s">
        <v>135</v>
      </c>
      <c r="D22" s="47" t="s">
        <v>136</v>
      </c>
      <c r="E22" s="39">
        <v>1855000</v>
      </c>
      <c r="F22" s="39">
        <v>4710000</v>
      </c>
      <c r="G22" s="43">
        <v>-2855000</v>
      </c>
      <c r="H22" s="55">
        <v>-0.61</v>
      </c>
    </row>
    <row r="23" spans="3:8" ht="42.75">
      <c r="C23" s="36" t="s">
        <v>137</v>
      </c>
      <c r="D23" s="47" t="s">
        <v>138</v>
      </c>
      <c r="E23" s="39">
        <v>170000</v>
      </c>
      <c r="F23" s="39">
        <v>636000</v>
      </c>
      <c r="G23" s="43">
        <v>-466000</v>
      </c>
      <c r="H23" s="55">
        <v>-0.73</v>
      </c>
    </row>
    <row r="24" spans="3:8" ht="57">
      <c r="C24" s="36" t="s">
        <v>139</v>
      </c>
      <c r="D24" s="47" t="s">
        <v>140</v>
      </c>
      <c r="E24" s="39">
        <v>7644000</v>
      </c>
      <c r="F24" s="39">
        <v>500000</v>
      </c>
      <c r="G24" s="43">
        <v>7144000</v>
      </c>
      <c r="H24" s="55">
        <v>14.29</v>
      </c>
    </row>
    <row r="25" spans="3:8" ht="57">
      <c r="C25" s="36" t="s">
        <v>100</v>
      </c>
      <c r="D25" s="47" t="s">
        <v>141</v>
      </c>
      <c r="E25" s="47"/>
      <c r="F25" s="39">
        <v>515618</v>
      </c>
      <c r="G25" s="43">
        <v>-515618</v>
      </c>
      <c r="H25" s="55">
        <v>-1</v>
      </c>
    </row>
    <row r="26" spans="3:8" ht="28.5">
      <c r="C26" s="36" t="s">
        <v>142</v>
      </c>
      <c r="D26" s="47" t="s">
        <v>143</v>
      </c>
      <c r="E26" s="47" t="s">
        <v>97</v>
      </c>
      <c r="F26" s="39">
        <v>2100000</v>
      </c>
      <c r="G26" s="43">
        <v>-2100000</v>
      </c>
      <c r="H26" s="55">
        <v>-1</v>
      </c>
    </row>
    <row r="27" spans="3:8" ht="47.45" customHeight="1">
      <c r="C27" s="36" t="s">
        <v>144</v>
      </c>
      <c r="D27" s="47" t="s">
        <v>145</v>
      </c>
      <c r="E27" s="47" t="s">
        <v>97</v>
      </c>
      <c r="F27" s="39">
        <v>2225000</v>
      </c>
      <c r="G27" s="43">
        <v>-2225000</v>
      </c>
      <c r="H27" s="55">
        <v>-1</v>
      </c>
    </row>
    <row r="28" spans="3:8" ht="71.25">
      <c r="C28" s="36" t="s">
        <v>146</v>
      </c>
      <c r="D28" s="47" t="s">
        <v>147</v>
      </c>
      <c r="E28" s="47" t="s">
        <v>97</v>
      </c>
      <c r="F28" s="39">
        <v>1100000</v>
      </c>
      <c r="G28" s="43">
        <v>-1100000</v>
      </c>
      <c r="H28" s="55">
        <v>-1</v>
      </c>
    </row>
    <row r="29" spans="3:8" ht="42.75">
      <c r="C29" s="36" t="s">
        <v>148</v>
      </c>
      <c r="D29" s="47" t="s">
        <v>149</v>
      </c>
      <c r="E29" s="56">
        <v>1431000</v>
      </c>
      <c r="F29" s="39">
        <v>3740000</v>
      </c>
      <c r="G29" s="43">
        <v>-2309000</v>
      </c>
      <c r="H29" s="55">
        <v>-0.62</v>
      </c>
    </row>
    <row r="30" spans="3:8" ht="71.25">
      <c r="C30" s="36" t="s">
        <v>150</v>
      </c>
      <c r="D30" s="47" t="s">
        <v>151</v>
      </c>
      <c r="E30" s="47"/>
      <c r="F30" s="39">
        <v>2034661</v>
      </c>
      <c r="G30" s="43">
        <v>-2034661</v>
      </c>
      <c r="H30" s="55">
        <v>-1</v>
      </c>
    </row>
    <row r="31" spans="3:8" ht="14.65">
      <c r="C31" s="36" t="s">
        <v>152</v>
      </c>
      <c r="D31" s="47" t="s">
        <v>153</v>
      </c>
      <c r="E31" s="39">
        <v>9406000</v>
      </c>
      <c r="F31" s="47" t="s">
        <v>97</v>
      </c>
      <c r="G31" s="43">
        <v>9406000</v>
      </c>
      <c r="H31" s="55">
        <v>1</v>
      </c>
    </row>
    <row r="32" spans="3:8" ht="29.25">
      <c r="C32" s="36" t="s">
        <v>154</v>
      </c>
      <c r="D32" s="48" t="s">
        <v>129</v>
      </c>
      <c r="E32" s="50">
        <v>28971842</v>
      </c>
      <c r="F32" s="50">
        <v>37757879</v>
      </c>
      <c r="G32" s="57">
        <v>-8786037</v>
      </c>
      <c r="H32" s="58">
        <v>-0.23</v>
      </c>
    </row>
    <row r="33" spans="3:8" ht="62.45" customHeight="1">
      <c r="C33" s="36" t="s">
        <v>155</v>
      </c>
      <c r="D33" s="47" t="s">
        <v>156</v>
      </c>
      <c r="E33" s="56">
        <v>186883</v>
      </c>
      <c r="F33" s="39">
        <v>407930</v>
      </c>
      <c r="G33" s="43">
        <v>-221047</v>
      </c>
      <c r="H33" s="55">
        <v>-0.54</v>
      </c>
    </row>
    <row r="34" spans="3:8" ht="87.75">
      <c r="C34" s="36" t="s">
        <v>157</v>
      </c>
      <c r="D34" s="48" t="s">
        <v>158</v>
      </c>
      <c r="E34" s="53">
        <v>108576278</v>
      </c>
      <c r="F34" s="50">
        <v>115613157</v>
      </c>
      <c r="G34" s="57">
        <v>-7036879</v>
      </c>
      <c r="H34" s="58">
        <v>-0.06</v>
      </c>
    </row>
    <row r="35" spans="3:8" ht="14.65">
      <c r="C35" s="36" t="s">
        <v>159</v>
      </c>
      <c r="D35" s="47" t="s">
        <v>160</v>
      </c>
      <c r="E35" s="47" t="s">
        <v>97</v>
      </c>
      <c r="F35" s="39">
        <v>3350000</v>
      </c>
      <c r="G35" s="43">
        <v>-3350000</v>
      </c>
      <c r="H35" s="55">
        <v>-1</v>
      </c>
    </row>
    <row r="36" spans="3:8" ht="32.450000000000003" customHeight="1">
      <c r="C36" s="36" t="s">
        <v>161</v>
      </c>
      <c r="D36" s="47" t="s">
        <v>162</v>
      </c>
      <c r="E36" s="56">
        <v>4400000</v>
      </c>
      <c r="F36" s="39">
        <v>21300000</v>
      </c>
      <c r="G36" s="43">
        <v>-16900000</v>
      </c>
      <c r="H36" s="55">
        <v>-0.79</v>
      </c>
    </row>
    <row r="37" spans="3:8" ht="87.75">
      <c r="C37" s="36" t="s">
        <v>163</v>
      </c>
      <c r="D37" s="48" t="s">
        <v>158</v>
      </c>
      <c r="E37" s="53">
        <v>112976278</v>
      </c>
      <c r="F37" s="50">
        <v>140263157</v>
      </c>
      <c r="G37" s="57">
        <v>-27286879</v>
      </c>
      <c r="H37" s="58">
        <v>-0.19</v>
      </c>
    </row>
    <row r="38" spans="3:8">
      <c r="C38" s="59"/>
      <c r="D38" s="59"/>
      <c r="E38" s="59"/>
      <c r="F38" s="59"/>
      <c r="G38" s="59"/>
      <c r="H38" s="59"/>
    </row>
    <row r="39" spans="3:8" ht="15.75">
      <c r="C39" s="60" t="s">
        <v>9</v>
      </c>
      <c r="D39" s="59"/>
      <c r="E39" s="59"/>
      <c r="F39" s="59"/>
      <c r="G39" s="59"/>
      <c r="H39" s="59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Mapato 2023</vt:lpstr>
      <vt:lpstr>Sheet2</vt:lpstr>
      <vt:lpstr>SUMMARY 22</vt:lpstr>
      <vt:lpstr>MALINGANISHO-MAPATO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YYY</cp:lastModifiedBy>
  <cp:revision>0</cp:revision>
  <dcterms:created xsi:type="dcterms:W3CDTF">2021-02-27T15:59:00Z</dcterms:created>
  <dcterms:modified xsi:type="dcterms:W3CDTF">2024-06-24T18:09:33Z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1033-3.2.0.6370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